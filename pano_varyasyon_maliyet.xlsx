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styles.xml" ContentType="application/vnd.openxmlformats-officedocument.spreadsheetml.styles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ano ve Satın Alma" sheetId="1" r:id="rId1"/>
    <sheet name="Varsayımlar ve Kaynaklar" sheetId="2" r:id="rId2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styles" Target="styles.xml" /></ns0:Relationships>
</file>

<file path=xl/worksheets/_rels/sheet1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support.industry.siemens.com/cs/products/3NP1124-1CA20/fuse-switch-disconnector-3np1?pid=1089514&amp;mlfb=3NP1124-1CA20&amp;lc=en-RU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www.huzurelektromarket.com.tr/urun/s8vk-c24024-guc-kaynagi-10-amper-omron/" TargetMode="External" /><ns0:Relationship Id="rId5" Type="http://schemas.openxmlformats.org/officeDocument/2006/relationships/hyperlink" Target="https://www.waveshare.com/esp32-s3-poe-eth-8di-8do.htm" TargetMode="External" /><ns0:Relationship Id="rId6" Type="http://schemas.openxmlformats.org/officeDocument/2006/relationships/hyperlink" Target="https://www.waveshare.com/Modbus-POE-ETH-Relay-16CH.htm" TargetMode="External" /><ns0:Relationship Id="rId7" Type="http://schemas.openxmlformats.org/officeDocument/2006/relationships/hyperlink" Target="https://www.krcelektromarket.com/loobar-4409250-4-kutuplu-dagitim-seti-250a" TargetMode="External" /><ns0:Relationship Id="rId8" Type="http://schemas.openxmlformats.org/officeDocument/2006/relationships/hyperlink" Target="https://tumpaelektrik.com/kompakt-salter/abb-1sda066782r1-formula-kompakt-salter-a2n-160a" TargetMode="External" /><ns0:Relationship Id="rId9" Type="http://schemas.openxmlformats.org/officeDocument/2006/relationships/hyperlink" Target="https://www.krcelektromarket.com/siemens-3rv2021-1ka10-motor-koruma-salteri-9-125-amper-s0" TargetMode="External" /><ns0:Relationship Id="rId10" Type="http://schemas.openxmlformats.org/officeDocument/2006/relationships/hyperlink" Target="https://zeybekmarket.com/sirius-12a-kontaktor-55kw" TargetMode="External" /><ns0:Relationship Id="rId11" Type="http://schemas.openxmlformats.org/officeDocument/2006/relationships/hyperlink" Target="https://www.sayhanelektrik.com/urun/enda-atsp4-analog-zaman-rolesi" TargetMode="External" /><ns0:Relationship Id="rId12" Type="http://schemas.openxmlformats.org/officeDocument/2006/relationships/hyperlink" Target="https://loobar.com.tr/4-kutup---14-delikli---600a-(-2/12-skp-giris-%C3%A7ikisli-)-bakir-barali-dagitici-6394" TargetMode="External" /></ns0:Relationships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support.industry.siemens.com/cs/products/3NP1124-1CA20/fuse-switch-disconnector-3np1?pid=1089514&amp;mlfb=3NP1124-1CA20&amp;lc=en-RU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tumpaelektrik.com/kompakt-salter/abb-1sda066782r1-formula-kompakt-salter-a2n-160a" TargetMode="External" /><ns0:Relationship Id="rId5" Type="http://schemas.openxmlformats.org/officeDocument/2006/relationships/hyperlink" Target="https://www.krcelektromarket.com/siemens-3rv2021-1ka10-motor-koruma-salteri-9-125-amper-s0" TargetMode="External" /><ns0:Relationship Id="rId6" Type="http://schemas.openxmlformats.org/officeDocument/2006/relationships/hyperlink" Target="https://zeybekmarket.com/sirius-12a-kontaktor-55kw" TargetMode="External" /><ns0:Relationship Id="rId7" Type="http://schemas.openxmlformats.org/officeDocument/2006/relationships/hyperlink" Target="https://www.sayhanelektrik.com/urun/enda-atsp4-analog-zaman-rolesi" TargetMode="External" /><ns0:Relationship Id="rId8" Type="http://schemas.openxmlformats.org/officeDocument/2006/relationships/hyperlink" Target="https://www.huzurelektromarket.com.tr/urun/s8vk-c24024-guc-kaynagi-10-amper-omron/" TargetMode="External" /><ns0:Relationship Id="rId9" Type="http://schemas.openxmlformats.org/officeDocument/2006/relationships/hyperlink" Target="https://www.waveshare.com/esp32-s3-poe-eth-8di-8do.htm" TargetMode="External" /><ns0:Relationship Id="rId10" Type="http://schemas.openxmlformats.org/officeDocument/2006/relationships/hyperlink" Target="https://www.waveshare.com/Modbus-POE-ETH-Relay-16CH.htm" TargetMode="External" /><ns0:Relationship Id="rId11" Type="http://schemas.openxmlformats.org/officeDocument/2006/relationships/hyperlink" Target="https://www.krcelektromarket.com/loobar-4409250-4-kutuplu-dagitim-seti-250a" TargetMode="External" /><ns0:Relationship Id="rId12" Type="http://schemas.openxmlformats.org/officeDocument/2006/relationships/hyperlink" Target="https://loobar.com.tr/4-kutup---14-delikli---600a-(-2/12-skp-giris-%C3%A7ikisli-)-bakir-barali-dagitici-6394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20"/>
  <cols>
    <col min="1" max="1" width="52" customWidth="1"/>
    <col min="2" max="2" width="19" customWidth="1"/>
    <col min="3" max="3" width="21" customWidth="1"/>
    <col min="4" max="4" width="13" customWidth="1"/>
    <col min="5" max="5" width="24" customWidth="1"/>
  </cols>
  <sheetData>
    <row r="1" ht="24" customHeight="1">
      <c r="A1" s="1" t="inlineStr">
        <is>
          <t>PANO BAZLI MALZEME LİSTELERİ VE TOPLU SATIN ALMA</t>
        </is>
      </c>
    </row>
    <row r="2" ht="21" customHeight="1">
      <c r="A2" s="2" t="inlineStr">
        <is>
          <t>Ön maliyet çalışması — para birimi TL. Kaynak, tarih, KDV ve teknik kabuller için “Varsayımlar ve Kaynaklar” sekmesine bakınız.</t>
        </is>
      </c>
    </row>
    <row r="4" ht="21" customHeight="1">
      <c r="A4" s="3" t="inlineStr">
        <is>
          <t>PANO 1 — 18,5 kW POMPA (20 MOTOR) | Sürücülü</t>
        </is>
      </c>
    </row>
    <row r="5" ht="21" customHeight="1">
      <c r="A5" s="4" t="inlineStr">
        <is>
          <t>Ürün</t>
        </is>
      </c>
      <c r="B5" s="4" t="inlineStr">
        <is>
          <t>Ürün bağlantısı</t>
        </is>
      </c>
      <c r="C5" s="4" t="inlineStr">
        <is>
          <t>Birim maliyet (TL)</t>
        </is>
      </c>
      <c r="D5" s="4" t="inlineStr">
        <is>
          <t>Adet</t>
        </is>
      </c>
      <c r="E5" s="4" t="inlineStr">
        <is>
          <t>Toplam maliyet (TL)</t>
        </is>
      </c>
    </row>
    <row r="6" ht="21" customHeight="1">
      <c r="A6" s="5" t="inlineStr">
        <is>
          <t>Siemens 3VA2510-5HL42-0AA0 kompakt şalter, 1000 A çerçeve</t>
        </is>
      </c>
      <c r="B6" s="6" t="inlineStr">
        <is>
          <t>Ürün sayfası</t>
        </is>
      </c>
      <c r="C6" s="8">
        <v>121951.64</v>
      </c>
      <c r="D6" s="9">
        <v>1</v>
      </c>
      <c r="E6" s="8">
        <f>IF(ISNUMBER(C6),C6*D6,"Teklif gerekli")</f>
        <v/>
      </c>
    </row>
    <row r="7" ht="21" customHeight="1">
      <c r="A7" s="5" t="inlineStr">
        <is>
          <t>Siemens SENTRON 3NP1124-1CA20, 4 kutuplu NH000 sigortalı yük ayırıcı (160 A gövde); uygun faz sigortalarıyla</t>
        </is>
      </c>
      <c r="B7" s="6" t="inlineStr">
        <is>
          <t>Ürün sayfası</t>
        </is>
      </c>
      <c r="C7" s="8" t="inlineStr">
        <v>5946.48</v>
        <is>
          <t>Teklif gerekli</t>
        </is>
      </c>
      <c r="D7" s="9">
        <v>20</v>
      </c>
      <c r="E7" s="8">
        <f>IF(ISNUMBER(C7),C7*D7,"Teklif gerekli")</f>
        <v/>
      </c>
    </row>
    <row r="8" ht="21" customHeight="1">
      <c r="A8" s="5" t="inlineStr">
        <is>
          <t>Delta VFD185E43A, 18,5 kW frekans konvertörü</t>
        </is>
      </c>
      <c r="B8" s="6" t="inlineStr">
        <is>
          <t>Ürün sayfası</t>
        </is>
      </c>
      <c r="C8" s="8">
        <v>45441.0</v>
      </c>
      <c r="D8" s="9">
        <v>20</v>
      </c>
      <c r="E8" s="8">
        <f>IF(ISNUMBER(C8),C8*D8,"Teklif gerekli")</f>
        <v/>
      </c>
    </row>
    <row r="9" ht="21" customHeight="1">
      <c r="A9" s="5" t="inlineStr">
        <is>
          <t>Omron S8VK-C24024, 24 V DC / 10 A güç kaynağı</t>
        </is>
      </c>
      <c r="B9" s="6" t="inlineStr">
        <is>
          <t>Ürün sayfası</t>
        </is>
      </c>
      <c r="C9" s="8">
        <v>2062.84</v>
      </c>
      <c r="D9" s="9">
        <v>1</v>
      </c>
      <c r="E9" s="8">
        <f>IF(ISNUMBER(C9),C9*D9,"Teklif gerekli")</f>
        <v/>
      </c>
    </row>
    <row r="10" ht="21" customHeight="1">
      <c r="A10" s="5" t="inlineStr">
        <is>
          <t>Waveshare ESP32-S3-POE-ETH-8DI-8DO (mevcut)</t>
        </is>
      </c>
      <c r="B10" s="6" t="inlineStr">
        <is>
          <t>Ürün sayfası</t>
        </is>
      </c>
      <c r="C10" s="8">
        <v>4000.0</v>
      </c>
      <c r="D10" s="9">
        <v>1</v>
      </c>
      <c r="E10" s="8">
        <f>IF(ISNUMBER(C10),C10*D10,"Teklif gerekli")</f>
        <v/>
      </c>
    </row>
    <row r="11" ht="21" customHeight="1">
      <c r="A11" s="5" t="inlineStr">
        <is>
          <t>Waveshare 16 kanallı Modbus Ethernet röle kartı</t>
        </is>
      </c>
      <c r="B11" s="6" t="inlineStr">
        <is>
          <t>Ürün sayfası</t>
        </is>
      </c>
      <c r="C11" s="8">
        <v>6400.0</v>
      </c>
      <c r="D11" s="9">
        <v>2</v>
      </c>
      <c r="E11" s="8">
        <f>IF(ISNUMBER(C11),C11*D11,"Teklif gerekli")</f>
        <v/>
      </c>
    </row>
    <row r="12" ht="21" customHeight="1">
      <c r="A12" s="5" t="inlineStr">
        <is>
          <t>Loobar LB.4409.250, 4 kutuplu 250 A güç dağıtım kutusu/barası</t>
        </is>
      </c>
      <c r="B12" s="6" t="inlineStr">
        <is>
          <t>Ürün sayfası</t>
        </is>
      </c>
      <c r="C12" s="5" t="inlineStr">
        <is>
          <t>Teklif gerekli</t>
        </is>
      </c>
      <c r="D12" s="9">
        <v>4</v>
      </c>
      <c r="E12" s="8">
        <f>IF(ISNUMBER(C12),C12*D12,"Teklif gerekli")</f>
        <v/>
      </c>
    </row>
    <row r="13" ht="21" customHeight="1">
      <c r="A13" s="10" t="inlineStr">
        <is>
          <t>Fiyatı bilinen kalemler ara toplamı</t>
        </is>
      </c>
      <c r="E13" s="11">
        <f>SUM(E6:E12)</f>
        <v/>
      </c>
    </row>
    <row r="14" ht="21" customHeight="1">
      <c r="A14" s="10" t="inlineStr">
        <is>
          <t>Pano toplamı (teklif gerektiren kalemler hariç tutulamaz)</t>
        </is>
      </c>
      <c r="E14" s="11">
        <f>IF(COUNT(E6:E12)&lt;COUNTA(A6:A12),"TEKLİF GEREKLİ",SUM(E6:E12))</f>
        <v/>
      </c>
    </row>
    <row r="15" ht="21" customHeight="1">
      <c r="A15" s="2" t="inlineStr">
        <is>
          <t>Teknik not: VFD çıkışında yıldız-üçgen kontaktör geçişi/zaman rölesi kullanılmaz. Motor, etiketine göre sabit yıldız veya üçgen bağlanır; hızlanma rampası sürücüden ayarlanır. VFD girişinde her sürücü için 4P (3 faz + N) sigortalı ayırıcı kullanılır; N kutbunda sigorta elemanı kullanılmamalıdır. Faz sigortalarının tipi ve akımı sürücü üreticisinin koruma tablosuna göre seçilmelidir.</t>
        </is>
      </c>
    </row>
    <row r="17" ht="21" customHeight="1">
      <c r="A17" s="3" t="inlineStr">
        <is>
          <t>PANO 2 — 5,5 kW POMPA (9 MOTOR) | Yıldız-üçgen, zaman röleli</t>
        </is>
      </c>
    </row>
    <row r="18" ht="21" customHeight="1">
      <c r="A18" s="4" t="inlineStr">
        <is>
          <t>Ürün</t>
        </is>
      </c>
      <c r="B18" s="4" t="inlineStr">
        <is>
          <t>Ürün bağlantısı</t>
        </is>
      </c>
      <c r="C18" s="4" t="inlineStr">
        <is>
          <t>Birim maliyet (TL)</t>
        </is>
      </c>
      <c r="D18" s="4" t="inlineStr">
        <is>
          <t>Adet</t>
        </is>
      </c>
      <c r="E18" s="4" t="inlineStr">
        <is>
          <t>Toplam maliyet (TL)</t>
        </is>
      </c>
    </row>
    <row r="19" ht="21" customHeight="1">
      <c r="A19" s="5" t="inlineStr">
        <is>
          <t>ABB Formula 1SDA066782R1 kompakt şalter, 160 A</t>
        </is>
      </c>
      <c r="B19" s="6" t="inlineStr">
        <is>
          <t>Ürün sayfası</t>
        </is>
      </c>
      <c r="C19" s="8">
        <v>4530.79</v>
      </c>
      <c r="D19" s="9">
        <v>1</v>
      </c>
      <c r="E19" s="8">
        <f>IF(ISNUMBER(C19),C19*D19,"Teklif gerekli")</f>
        <v/>
      </c>
    </row>
    <row r="20" ht="21" customHeight="1">
      <c r="A20" s="5" t="inlineStr">
        <is>
          <t>Siemens SIRIUS 3RV2021-1KA10, 9–12,5 A motor koruma şalteri, raya montaj</t>
        </is>
      </c>
      <c r="B20" s="6" t="inlineStr">
        <is>
          <t>Ürün sayfası</t>
        </is>
      </c>
      <c r="C20" s="8">
        <v>6099.0</v>
      </c>
      <c r="D20" s="9">
        <v>9</v>
      </c>
      <c r="E20" s="8">
        <f>IF(ISNUMBER(C20),C20*D20,"Teklif gerekli")</f>
        <v/>
      </c>
    </row>
    <row r="21" ht="21" customHeight="1">
      <c r="A21" s="5" t="inlineStr">
        <is>
          <t>Siemens SIRIUS 12 A / 5,5 kW kontaktör</t>
        </is>
      </c>
      <c r="B21" s="6" t="inlineStr">
        <is>
          <t>Ürün sayfası</t>
        </is>
      </c>
      <c r="C21" s="8">
        <v>1230.95</v>
      </c>
      <c r="D21" s="9">
        <v>27</v>
      </c>
      <c r="E21" s="8">
        <f>IF(ISNUMBER(C21),C21*D21,"Teklif gerekli")</f>
        <v/>
      </c>
    </row>
    <row r="22" ht="21" customHeight="1">
      <c r="A22" s="5" t="inlineStr">
        <is>
          <t>ENDA ATSP4 analog zaman rölesi, yıldız-üçgen geçişi</t>
        </is>
      </c>
      <c r="B22" s="6" t="inlineStr">
        <is>
          <t>Ürün sayfası</t>
        </is>
      </c>
      <c r="C22" s="8">
        <v>1039.5</v>
      </c>
      <c r="D22" s="9">
        <v>9</v>
      </c>
      <c r="E22" s="8">
        <f>IF(ISNUMBER(C22),C22*D22,"Teklif gerekli")</f>
        <v/>
      </c>
    </row>
    <row r="23" ht="21" customHeight="1">
      <c r="A23" s="5" t="inlineStr">
        <is>
          <t>Omron S8VK-C24024, 24 V DC / 10 A güç kaynağı</t>
        </is>
      </c>
      <c r="B23" s="6" t="inlineStr">
        <is>
          <t>Ürün sayfası</t>
        </is>
      </c>
      <c r="C23" s="8">
        <v>2062.84</v>
      </c>
      <c r="D23" s="9">
        <v>1</v>
      </c>
      <c r="E23" s="8">
        <f>IF(ISNUMBER(C23),C23*D23,"Teklif gerekli")</f>
        <v/>
      </c>
    </row>
    <row r="24" ht="21" customHeight="1">
      <c r="A24" s="5" t="inlineStr">
        <is>
          <t>Waveshare ESP32-S3-POE-ETH-8DI-8DO (mevcut)</t>
        </is>
      </c>
      <c r="B24" s="6" t="inlineStr">
        <is>
          <t>Ürün sayfası</t>
        </is>
      </c>
      <c r="C24" s="8">
        <v>4000.0</v>
      </c>
      <c r="D24" s="9">
        <v>1</v>
      </c>
      <c r="E24" s="8">
        <f>IF(ISNUMBER(C24),C24*D24,"Teklif gerekli")</f>
        <v/>
      </c>
    </row>
    <row r="25" ht="21" customHeight="1">
      <c r="A25" s="5" t="inlineStr">
        <is>
          <t>Waveshare 16 kanallı Modbus Ethernet röle kartı</t>
        </is>
      </c>
      <c r="B25" s="6" t="inlineStr">
        <is>
          <t>Ürün sayfası</t>
        </is>
      </c>
      <c r="C25" s="8">
        <v>6400.0</v>
      </c>
      <c r="D25" s="9">
        <v>2</v>
      </c>
      <c r="E25" s="8">
        <f>IF(ISNUMBER(C25),C25*D25,"Teklif gerekli")</f>
        <v/>
      </c>
    </row>
    <row r="26" ht="21" customHeight="1">
      <c r="A26" s="5" t="inlineStr">
        <is>
          <t>Loobar LB.4409.250, 4 kutuplu 250 A güç dağıtım kutusu/barası</t>
        </is>
      </c>
      <c r="B26" s="6" t="inlineStr">
        <is>
          <t>Ürün sayfası</t>
        </is>
      </c>
      <c r="C26" s="5" t="inlineStr">
        <is>
          <t>Teklif gerekli</t>
        </is>
      </c>
      <c r="D26" s="9">
        <v>1</v>
      </c>
      <c r="E26" s="8">
        <f>IF(ISNUMBER(C26),C26*D26,"Teklif gerekli")</f>
        <v/>
      </c>
    </row>
    <row r="27" ht="21" customHeight="1">
      <c r="A27" s="10" t="inlineStr">
        <is>
          <t>Fiyatı bilinen kalemler ara toplamı</t>
        </is>
      </c>
      <c r="E27" s="11">
        <f>SUM(E19:E26)</f>
        <v/>
      </c>
    </row>
    <row r="28" ht="21" customHeight="1">
      <c r="A28" s="10" t="inlineStr">
        <is>
          <t>Pano toplamı (teklif gerektiren kalemler hariç tutulamaz)</t>
        </is>
      </c>
      <c r="E28" s="11">
        <f>IF(COUNT(E19:E26)&lt;COUNTA(A19:A26),"TEKLİF GEREKLİ",SUM(E19:E26))</f>
        <v/>
      </c>
    </row>
    <row r="29" ht="21" customHeight="1">
      <c r="A29" s="2" t="inlineStr">
        <is>
          <t>Her pompa için 1 motor koruma şalteri, 3 adet Siemens kontaktör ve 1 yıldız-üçgen zaman rölesi varsayılmıştır. Y/Δ kontaktörlerinde uygun mekanik ve elektriksel kilitleme zorunludur.</t>
        </is>
      </c>
    </row>
    <row r="31" ht="21" customHeight="1">
      <c r="A31" s="3" t="inlineStr">
        <is>
          <t>PANO 3 — 5,5 kW FAN (10 MOTOR) | Yıldız-üçgen, zaman röleli</t>
        </is>
      </c>
    </row>
    <row r="32" ht="21" customHeight="1">
      <c r="A32" s="4" t="inlineStr">
        <is>
          <t>Ürün</t>
        </is>
      </c>
      <c r="B32" s="4" t="inlineStr">
        <is>
          <t>Ürün bağlantısı</t>
        </is>
      </c>
      <c r="C32" s="4" t="inlineStr">
        <is>
          <t>Birim maliyet (TL)</t>
        </is>
      </c>
      <c r="D32" s="4" t="inlineStr">
        <is>
          <t>Adet</t>
        </is>
      </c>
      <c r="E32" s="4" t="inlineStr">
        <is>
          <t>Toplam maliyet (TL)</t>
        </is>
      </c>
    </row>
    <row r="33" ht="21" customHeight="1">
      <c r="A33" s="5" t="inlineStr">
        <is>
          <t>ABB Formula 1SDA066782R1 kompakt şalter, 160 A</t>
        </is>
      </c>
      <c r="B33" s="6" t="inlineStr">
        <is>
          <t>Ürün sayfası</t>
        </is>
      </c>
      <c r="C33" s="8">
        <v>4530.79</v>
      </c>
      <c r="D33" s="9">
        <v>1</v>
      </c>
      <c r="E33" s="8">
        <f>IF(ISNUMBER(C33),C33*D33,"Teklif gerekli")</f>
        <v/>
      </c>
    </row>
    <row r="34" ht="21" customHeight="1">
      <c r="A34" s="5" t="inlineStr">
        <is>
          <t>Siemens SIRIUS 3RV2021-1KA10, 9–12,5 A motor koruma şalteri, raya montaj</t>
        </is>
      </c>
      <c r="B34" s="6" t="inlineStr">
        <is>
          <t>Ürün sayfası</t>
        </is>
      </c>
      <c r="C34" s="8">
        <v>6099.0</v>
      </c>
      <c r="D34" s="9">
        <v>10</v>
      </c>
      <c r="E34" s="8">
        <f>IF(ISNUMBER(C34),C34*D34,"Teklif gerekli")</f>
        <v/>
      </c>
    </row>
    <row r="35" ht="21" customHeight="1">
      <c r="A35" s="5" t="inlineStr">
        <is>
          <t>Siemens SIRIUS 12 A / 5,5 kW kontaktör</t>
        </is>
      </c>
      <c r="B35" s="6" t="inlineStr">
        <is>
          <t>Ürün sayfası</t>
        </is>
      </c>
      <c r="C35" s="8">
        <v>1230.95</v>
      </c>
      <c r="D35" s="9">
        <v>30</v>
      </c>
      <c r="E35" s="8">
        <f>IF(ISNUMBER(C35),C35*D35,"Teklif gerekli")</f>
        <v/>
      </c>
    </row>
    <row r="36" ht="21" customHeight="1">
      <c r="A36" s="5" t="inlineStr">
        <is>
          <t>ENDA ATSP4 analog zaman rölesi, yıldız-üçgen geçişi</t>
        </is>
      </c>
      <c r="B36" s="6" t="inlineStr">
        <is>
          <t>Ürün sayfası</t>
        </is>
      </c>
      <c r="C36" s="8">
        <v>1039.5</v>
      </c>
      <c r="D36" s="9">
        <v>10</v>
      </c>
      <c r="E36" s="8">
        <f>IF(ISNUMBER(C36),C36*D36,"Teklif gerekli")</f>
        <v/>
      </c>
    </row>
    <row r="37" ht="21" customHeight="1">
      <c r="A37" s="5" t="inlineStr">
        <is>
          <t>Omron S8VK-C24024, 24 V DC / 10 A güç kaynağı</t>
        </is>
      </c>
      <c r="B37" s="6" t="inlineStr">
        <is>
          <t>Ürün sayfası</t>
        </is>
      </c>
      <c r="C37" s="8">
        <v>2062.84</v>
      </c>
      <c r="D37" s="9">
        <v>1</v>
      </c>
      <c r="E37" s="8">
        <f>IF(ISNUMBER(C37),C37*D37,"Teklif gerekli")</f>
        <v/>
      </c>
    </row>
    <row r="38" ht="21" customHeight="1">
      <c r="A38" s="5" t="inlineStr">
        <is>
          <t>Waveshare ESP32-S3-POE-ETH-8DI-8DO (mevcut)</t>
        </is>
      </c>
      <c r="B38" s="6" t="inlineStr">
        <is>
          <t>Ürün sayfası</t>
        </is>
      </c>
      <c r="C38" s="8">
        <v>4000.0</v>
      </c>
      <c r="D38" s="9">
        <v>1</v>
      </c>
      <c r="E38" s="8">
        <f>IF(ISNUMBER(C38),C38*D38,"Teklif gerekli")</f>
        <v/>
      </c>
    </row>
    <row r="39" ht="21" customHeight="1">
      <c r="A39" s="5" t="inlineStr">
        <is>
          <t>Waveshare 16 kanallı Modbus Ethernet röle kartı</t>
        </is>
      </c>
      <c r="B39" s="6" t="inlineStr">
        <is>
          <t>Ürün sayfası</t>
        </is>
      </c>
      <c r="C39" s="8">
        <v>6400.0</v>
      </c>
      <c r="D39" s="9">
        <v>2</v>
      </c>
      <c r="E39" s="8">
        <f>IF(ISNUMBER(C39),C39*D39,"Teklif gerekli")</f>
        <v/>
      </c>
    </row>
    <row r="40" ht="21" customHeight="1">
      <c r="A40" s="5" t="inlineStr">
        <is>
          <t>Loobar LB.4409.250, 4 kutuplu 250 A güç dağıtım kutusu/barası</t>
        </is>
      </c>
      <c r="B40" s="6" t="inlineStr">
        <is>
          <t>Ürün sayfası</t>
        </is>
      </c>
      <c r="C40" s="5" t="inlineStr">
        <is>
          <t>Teklif gerekli</t>
        </is>
      </c>
      <c r="D40" s="9">
        <v>1</v>
      </c>
      <c r="E40" s="8">
        <f>IF(ISNUMBER(C40),C40*D40,"Teklif gerekli")</f>
        <v/>
      </c>
    </row>
    <row r="41" ht="21" customHeight="1">
      <c r="A41" s="10" t="inlineStr">
        <is>
          <t>Fiyatı bilinen kalemler ara toplamı</t>
        </is>
      </c>
      <c r="E41" s="11">
        <f>SUM(E33:E40)</f>
        <v/>
      </c>
    </row>
    <row r="42" ht="21" customHeight="1">
      <c r="A42" s="10" t="inlineStr">
        <is>
          <t>Pano toplamı (teklif gerektiren kalemler hariç tutulamaz)</t>
        </is>
      </c>
      <c r="E42" s="11">
        <f>IF(COUNT(E33:E40)&lt;COUNTA(A33:A40),"TEKLİF GEREKLİ",SUM(E33:E40))</f>
        <v/>
      </c>
    </row>
    <row r="43" ht="21" customHeight="1">
      <c r="A43" s="2" t="inlineStr">
        <is>
          <t>Her fan motoru için 1 motor koruma şalteri, 3 adet Siemens kontaktör ve 1 yıldız-üçgen zaman rölesi varsayılmıştır. Y/Δ kontaktörlerinde uygun mekanik ve elektriksel kilitleme zorunludur.</t>
        </is>
      </c>
    </row>
    <row r="45" ht="21" customHeight="1">
      <c r="A45" s="3" t="inlineStr">
        <is>
          <t>TOPLU SATIN ALMA LİSTESİ — TEKRAR EDEN ÜRÜNLER BİRLEŞTİRİLMİŞTİR</t>
        </is>
      </c>
    </row>
    <row r="46" ht="21" customHeight="1">
      <c r="A46" s="4" t="inlineStr">
        <is>
          <t>Ürün</t>
        </is>
      </c>
      <c r="B46" s="4" t="inlineStr">
        <is>
          <t>Ürün bağlantısı</t>
        </is>
      </c>
      <c r="C46" s="4" t="inlineStr">
        <is>
          <t>Toplam adet</t>
        </is>
      </c>
      <c r="D46" s="4" t="inlineStr">
        <is>
          <t>Birim maliyet (TL)</t>
        </is>
      </c>
      <c r="E46" s="4" t="inlineStr">
        <is>
          <t>Toplam maliyet (TL)</t>
        </is>
      </c>
    </row>
    <row r="47" ht="21" customHeight="1">
      <c r="A47" s="5" t="inlineStr">
        <is>
          <t>Siemens 3VA2510-5HL42-0AA0 kompakt şalter, 1000 A çerçeve</t>
        </is>
      </c>
      <c r="B47" s="6" t="inlineStr">
        <is>
          <t>Ürün sayfası</t>
        </is>
      </c>
      <c r="C47" s="9">
        <v>1</v>
      </c>
      <c r="D47" s="8">
        <v>121951.64</v>
      </c>
      <c r="E47" s="8">
        <f>IF(ISNUMBER(D47),C47*D47,"Teklif gerekli")</f>
        <v/>
      </c>
    </row>
    <row r="48" ht="21" customHeight="1">
      <c r="A48" s="5" t="inlineStr">
        <is>
          <t>Siemens SENTRON 3NP1124-1CA20, 4 kutuplu NH000 sigortalı yük ayırıcı (160 A gövde); uygun faz sigortalarıyla</t>
        </is>
      </c>
      <c r="B48" s="6" t="inlineStr">
        <is>
          <t>Ürün sayfası</t>
        </is>
      </c>
      <c r="C48" s="9">
        <v>20</v>
      </c>
      <c r="D48" s="8" t="inlineStr">
        <v>5946.48</v>
        <is>
          <t>Teklif gerekli</t>
        </is>
      </c>
      <c r="E48" s="8">
        <f>IF(ISNUMBER(D48),C48*D48,"Teklif gerekli")</f>
        <v/>
      </c>
    </row>
    <row r="49" ht="21" customHeight="1">
      <c r="A49" s="5" t="inlineStr">
        <is>
          <t>Delta VFD185E43A, 18,5 kW frekans konvertörü</t>
        </is>
      </c>
      <c r="B49" s="6" t="inlineStr">
        <is>
          <t>Ürün sayfası</t>
        </is>
      </c>
      <c r="C49" s="9">
        <v>20</v>
      </c>
      <c r="D49" s="8">
        <v>45441.0</v>
      </c>
      <c r="E49" s="8">
        <f>IF(ISNUMBER(D49),C49*D49,"Teklif gerekli")</f>
        <v/>
      </c>
    </row>
    <row r="50" ht="21" customHeight="1">
      <c r="A50" s="5" t="inlineStr">
        <is>
          <t>Omron S8VK-C24024, 24 V DC / 10 A güç kaynağı</t>
        </is>
      </c>
      <c r="B50" s="6" t="inlineStr">
        <is>
          <t>Ürün sayfası</t>
        </is>
      </c>
      <c r="C50" s="9">
        <v>3</v>
      </c>
      <c r="D50" s="8">
        <v>2062.84</v>
      </c>
      <c r="E50" s="8">
        <f>IF(ISNUMBER(D50),C50*D50,"Teklif gerekli")</f>
        <v/>
      </c>
    </row>
    <row r="51" ht="21" customHeight="1">
      <c r="A51" s="5" t="inlineStr">
        <is>
          <t>Waveshare ESP32-S3-POE-ETH-8DI-8DO (mevcut)</t>
        </is>
      </c>
      <c r="B51" s="6" t="inlineStr">
        <is>
          <t>Ürün sayfası</t>
        </is>
      </c>
      <c r="C51" s="9">
        <v>3</v>
      </c>
      <c r="D51" s="8">
        <v>4000.0</v>
      </c>
      <c r="E51" s="8">
        <f>IF(ISNUMBER(D51),C51*D51,"Teklif gerekli")</f>
        <v/>
      </c>
    </row>
    <row r="52" ht="21" customHeight="1">
      <c r="A52" s="5" t="inlineStr">
        <is>
          <t>Waveshare 16 kanallı Modbus Ethernet röle kartı</t>
        </is>
      </c>
      <c r="B52" s="6" t="inlineStr">
        <is>
          <t>Ürün sayfası</t>
        </is>
      </c>
      <c r="C52" s="9">
        <v>6</v>
      </c>
      <c r="D52" s="8">
        <v>6400.0</v>
      </c>
      <c r="E52" s="8">
        <f>IF(ISNUMBER(D52),C52*D52,"Teklif gerekli")</f>
        <v/>
      </c>
    </row>
    <row r="53" ht="21" customHeight="1">
      <c r="A53" s="5" t="inlineStr">
        <is>
          <t>Loobar LB.4409.250, 4 kutuplu 250 A güç dağıtım kutusu/barası</t>
        </is>
      </c>
      <c r="B53" s="6" t="inlineStr">
        <is>
          <t>Ürün sayfası</t>
        </is>
      </c>
      <c r="C53" s="9">
        <v>6</v>
      </c>
      <c r="D53" s="5" t="inlineStr">
        <is>
          <t>Teklif gerekli</t>
        </is>
      </c>
      <c r="E53" s="8">
        <f>IF(ISNUMBER(D53),C53*D53,"Teklif gerekli")</f>
        <v/>
      </c>
    </row>
    <row r="54" ht="21" customHeight="1">
      <c r="A54" s="5" t="inlineStr">
        <is>
          <t>ABB Formula 1SDA066782R1 kompakt şalter, 160 A</t>
        </is>
      </c>
      <c r="B54" s="6" t="inlineStr">
        <is>
          <t>Ürün sayfası</t>
        </is>
      </c>
      <c r="C54" s="9">
        <v>2</v>
      </c>
      <c r="D54" s="8">
        <v>4530.79</v>
      </c>
      <c r="E54" s="8">
        <f>IF(ISNUMBER(D54),C54*D54,"Teklif gerekli")</f>
        <v/>
      </c>
    </row>
    <row r="55" ht="21" customHeight="1">
      <c r="A55" s="5" t="inlineStr">
        <is>
          <t>Siemens SIRIUS 3RV2021-1KA10, 9–12,5 A motor koruma şalteri, raya montaj</t>
        </is>
      </c>
      <c r="B55" s="6" t="inlineStr">
        <is>
          <t>Ürün sayfası</t>
        </is>
      </c>
      <c r="C55" s="9">
        <v>19</v>
      </c>
      <c r="D55" s="8">
        <v>6099.0</v>
      </c>
      <c r="E55" s="8">
        <f>IF(ISNUMBER(D55),C55*D55,"Teklif gerekli")</f>
        <v/>
      </c>
    </row>
    <row r="56" ht="21" customHeight="1">
      <c r="A56" s="5" t="inlineStr">
        <is>
          <t>Siemens SIRIUS 12 A / 5,5 kW kontaktör</t>
        </is>
      </c>
      <c r="B56" s="6" t="inlineStr">
        <is>
          <t>Ürün sayfası</t>
        </is>
      </c>
      <c r="C56" s="9">
        <v>57</v>
      </c>
      <c r="D56" s="8">
        <v>1230.95</v>
      </c>
      <c r="E56" s="8">
        <f>IF(ISNUMBER(D56),C56*D56,"Teklif gerekli")</f>
        <v/>
      </c>
    </row>
    <row r="57" ht="21" customHeight="1">
      <c r="A57" s="5" t="inlineStr">
        <is>
          <t>ENDA ATSP4 analog zaman rölesi, yıldız-üçgen geçişi</t>
        </is>
      </c>
      <c r="B57" s="6" t="inlineStr">
        <is>
          <t>Ürün sayfası</t>
        </is>
      </c>
      <c r="C57" s="9">
        <v>19</v>
      </c>
      <c r="D57" s="8">
        <v>1039.5</v>
      </c>
      <c r="E57" s="8">
        <f>IF(ISNUMBER(D57),C57*D57,"Teklif gerekli")</f>
        <v/>
      </c>
    </row>
    <row r="58" ht="21" customHeight="1">
      <c r="A58" s="5" t="inlineStr">
        <is>
          <t>Loobar LB.4212.600, 4 kutuplu 600 A kalaylı bakır baralı dağıtıcı</t>
        </is>
      </c>
      <c r="B58" s="6" t="inlineStr">
        <is>
          <t>Ürün sayfası</t>
        </is>
      </c>
      <c r="C58" s="9">
        <v>1</v>
      </c>
      <c r="D58" s="8">
        <v>11816.92</v>
      </c>
      <c r="E58" s="8">
        <f>IF(ISNUMBER(D58),C58*D58,"Teklif gerekli")</f>
        <v/>
      </c>
    </row>
    <row r="59" ht="21" customHeight="1">
      <c r="A59" s="10" t="inlineStr">
        <is>
          <t>Fiyatı bilinen kalemler ara toplamı</t>
        </is>
      </c>
      <c r="E59" s="11">
        <f>SUM(E47:E58)</f>
        <v/>
      </c>
    </row>
    <row r="60" ht="21" customHeight="1">
      <c r="A60" s="10" t="inlineStr">
        <is>
          <t>Genel satın alma toplamı</t>
        </is>
      </c>
      <c r="E60" s="11">
        <f>IF(COUNT(E47:E58)&lt;COUNTA(A47:A58),"TEKLİF GEREKLİ",SUM(E47:E58))</f>
        <v/>
      </c>
    </row>
    <row r="61" ht="21" customHeight="1">
      <c r="A61" s="2" t="inlineStr">
        <is>
          <t>“Teklif gerekli” kalemin bedeli, ara toplamda yer almaz; nihai satın alma toplamı satıcı teklifiyle tamamlanmalıdır.</t>
        </is>
      </c>
    </row>
  </sheetData>
  <mergeCells count="18">
    <mergeCell ref="A1:E1"/>
    <mergeCell ref="A2:E2"/>
    <mergeCell ref="A4:E4"/>
    <mergeCell ref="A13:D13"/>
    <mergeCell ref="A14:D14"/>
    <mergeCell ref="A15:E15"/>
    <mergeCell ref="A17:E17"/>
    <mergeCell ref="A27:D27"/>
    <mergeCell ref="A28:D28"/>
    <mergeCell ref="A29:E29"/>
    <mergeCell ref="A31:E31"/>
    <mergeCell ref="A41:D41"/>
    <mergeCell ref="A42:D42"/>
    <mergeCell ref="A43:E43"/>
    <mergeCell ref="A45:E45"/>
    <mergeCell ref="A58:D58"/>
    <mergeCell ref="A59:D59"/>
    <mergeCell ref="A60:E60"/>
  </mergeCells>
  <hyperlinks>
    <hyperlink ref="B6" r:id="rId1"/>
    <hyperlink ref="B7" r:id="rId2"/>
    <hyperlink ref="B8" r:id="rId3"/>
    <hyperlink ref="B9" r:id="rId4"/>
    <hyperlink ref="B10" r:id="rId5"/>
    <hyperlink ref="B11" r:id="rId6"/>
    <hyperlink ref="B12" r:id="rId7"/>
    <hyperlink ref="B19" r:id="rId8"/>
    <hyperlink ref="B20" r:id="rId9"/>
    <hyperlink ref="B21" r:id="rId10"/>
    <hyperlink ref="B22" r:id="rId11"/>
    <hyperlink ref="B23" r:id="rId4"/>
    <hyperlink ref="B24" r:id="rId5"/>
    <hyperlink ref="B25" r:id="rId6"/>
    <hyperlink ref="B26" r:id="rId7"/>
    <hyperlink ref="B33" r:id="rId8"/>
    <hyperlink ref="B34" r:id="rId9"/>
    <hyperlink ref="B35" r:id="rId10"/>
    <hyperlink ref="B36" r:id="rId11"/>
    <hyperlink ref="B37" r:id="rId4"/>
    <hyperlink ref="B38" r:id="rId5"/>
    <hyperlink ref="B39" r:id="rId6"/>
    <hyperlink ref="B40" r:id="rId7"/>
    <hyperlink ref="B47" r:id="rId1"/>
    <hyperlink ref="B48" r:id="rId2"/>
    <hyperlink ref="B49" r:id="rId3"/>
    <hyperlink ref="B50" r:id="rId4"/>
    <hyperlink ref="B51" r:id="rId5"/>
    <hyperlink ref="B52" r:id="rId6"/>
    <hyperlink ref="B53" r:id="rId7"/>
    <hyperlink ref="B54" r:id="rId8"/>
    <hyperlink ref="B55" r:id="rId9"/>
    <hyperlink ref="B56" r:id="rId10"/>
    <hyperlink ref="B57" r:id="rId11"/>
    <hyperlink ref="B58" r:id="rId12"/>
  </hyperlink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20"/>
  <cols>
    <col min="1" max="1" width="37" customWidth="1"/>
    <col min="2" max="2" width="21" customWidth="1"/>
    <col min="3" max="3" width="22" customWidth="1"/>
    <col min="4" max="4" width="90" customWidth="1"/>
  </cols>
  <sheetData>
    <row r="1" ht="24" customHeight="1">
      <c r="A1" s="1" t="inlineStr">
        <is>
          <t>VARSAYIMLAR, TEKNİK SINIRLAR VE FİYAT KAYNAKLARI</t>
        </is>
      </c>
    </row>
    <row r="2" ht="21" customHeight="1">
      <c r="A2" s="2" t="inlineStr">
        <is>
          <t>Çalışma tarihi: 09.10.2026. Çevrimiçi fiyatlar ön bütçedir; satıcı stok/fiyatı ve vergi durumu sipariş öncesi doğrulanmalıdır.</t>
        </is>
      </c>
    </row>
    <row r="4" ht="21" customHeight="1">
      <c r="A4" s="10" t="inlineStr">
        <is>
          <t>Motor adetleri</t>
        </is>
      </c>
      <c r="B4" s="2" t="inlineStr">
        <is>
          <t>Pano 1: 14 + 6 = 20 adet 18,5 kW pompa; Pano 2: 4 + 5 = 9 adet 5,5 kW pompa; Pano 3: 7 + 3 = 10 adet 5,5 kW fan.</t>
        </is>
      </c>
    </row>
    <row r="5" ht="21" customHeight="1">
      <c r="A5" s="10" t="inlineStr">
        <is>
          <t>Pano 1 tasarımı</t>
        </is>
      </c>
      <c r="B5" s="2" t="inlineStr">
        <is>
          <t>20 adet 18,5 kW VFD baz alınmıştır. Y/Δ geçişi için zaman rölesi eklenmemiştir: VFD ile motor arasında çalışma sırasında yıldız-üçgen kontaktör geçişi sürücüye/motora zarar verebilir. Motor sabit bağlantıda kalmalı; rampa sürücüden ayarlanmalıdır.</t>
        </is>
      </c>
    </row>
    <row r="6" ht="21" customHeight="1">
      <c r="A6" s="10" t="inlineStr">
        <is>
          <t>Pano 2 ve 3</t>
        </is>
      </c>
      <c r="B6" s="2" t="inlineStr">
        <is>
          <t>Her 5,5 kW motor için 1 adet motor koruma şalteri, 3 Siemens kontaktör ve 1 zaman rölesi öngörülmüştür. Kontaktör yıldız/ana/üçgen görevleri, bobin gerilimi, kontaktör boyutlandırması ve zaman rölesinin gerçek Y/Δ fonksiyonu üretici dokümanı/proje ile doğrulanmalıdır.</t>
        </is>
      </c>
    </row>
    <row r="7" ht="21" customHeight="1">
      <c r="A7" s="10" t="inlineStr">
        <is>
          <t>MPCB</t>
        </is>
      </c>
      <c r="B7" s="2" t="inlineStr">
        <is>
          <t>Pano 1 VFD giriş korumasında artık MPCB değil, 4P sigortalı ayırıcı kullanılır; nötr kutbu sigortasız olmalı, faz sigortaları sürücü talimatına göre seçilmelidir. Her 18,5 kW VFD için bir takım varsayılmıştır.</t>
        </is>
      </c>
    </row>
    <row r="8" ht="21" customHeight="1">
      <c r="A8" s="10" t="inlineStr">
        <is>
          <t>Waveshare kartları</t>
        </is>
      </c>
      <c r="B8" s="2" t="inlineStr">
        <is>
          <t>Kullanıcının verdiği fiyatlar kullanılmıştır: ESP32-S3-POE-ETH-8DI-8DO (mevcut) 4.000 TL/adet; 16 kanallı Modbus Ethernet röle kartı 6.400 TL/adet. Adetler mevcut tasarım kabulüdür; giriş/çıkış kapasitesi ve fail-safe kontrol ayrıca doğrulanmalıdır.</t>
        </is>
      </c>
    </row>
    <row r="9" ht="21" customHeight="1">
      <c r="A9" s="10" t="inlineStr">
        <is>
          <t>Loobar dağıtım kutusu</t>
        </is>
      </c>
      <c r="B9" s="2" t="inlineStr">
        <is>
          <t>LB.4409.250 4 kutuplu 250 A güç dağıtım kutusu/barasıdır; bakır lama değildir. 18,5 kW pano için 4 ayrı grup, diğer panolar için birer adet ön seçimdir. Fiyat KRC ürün sayfasında teyit edilemediği için teklif gerekli bırakıldı; ara toplamlar bu kalemi içermez. PE/topraklama barası yerine geçmez.</t>
        </is>
      </c>
    </row>
    <row r="10" ht="21" customHeight="1">
      <c r="A10" s="10" t="inlineStr">
        <is>
          <t>Fiyat ve KDV</t>
        </is>
      </c>
      <c r="B10" s="2" t="inlineStr">
        <is>
          <t>Diğer birim fiyatlar önceki araştırmada görülen satıcı listeleme/karşılaştırma tutarlarıdır; KDV ve iskonto satıcı bazında farklı olabilir. Zeybek kontaktör ve KRC 12,5 A koruma şalteri fiyatları sipariş öncesi ürün kodu, stok ve güncel tutar açısından doğrulanmalıdır.</t>
        </is>
      </c>
    </row>
    <row r="11" ht="21" customHeight="1">
      <c r="A11" s="10" t="inlineStr">
        <is>
          <t>Kapsam dışı</t>
        </is>
      </c>
      <c r="B11" s="2" t="inlineStr">
        <is>
          <t>Pano kabini, pano içi ana bara ve kablolama (toplu listeye ayrıca eklenen 600 A dağıtıcı hariç), klemensler, fan/filtre, SPD, kumanda/koruma aksesuarları, ilave giriş/çıkış genişlemesi, montaj, devreye alma, mühendislik, nakliye ve işçilik dahil değildir. Liste uygulama projesi yerine geçmez.</t>
        </is>
      </c>
    </row>
    <row r="12" ht="21" customHeight="1">
      <c r="A12" s="10" t="inlineStr">
        <is>
          <t>Toplamlar</t>
        </is>
      </c>
      <c r="B12" s="2" t="inlineStr">
        <is>
          <t>Kalem toplamı = birim fiyat × miktar formülüdür. Pano ve toplu satın alma toplamı formüllerle hesaplanır. Teklif gereken satır olduğunda kesin toplam yerine fiyatı bilinen kalemlerin ara toplamı gösterilir.</t>
        </is>
      </c>
    </row>
    <row r="14" ht="21" customHeight="1">
      <c r="A14" s="4" t="inlineStr">
        <is>
          <t>Ürün</t>
        </is>
      </c>
      <c r="B14" s="4" t="inlineStr">
        <is>
          <t>Satıcı ürün sayfası</t>
        </is>
      </c>
      <c r="C14" s="4" t="inlineStr">
        <is>
          <t>Birim fiyat (TL)</t>
        </is>
      </c>
      <c r="D14" s="4" t="inlineStr">
        <is>
          <t>Kaynak/fiyat notu</t>
        </is>
      </c>
    </row>
    <row r="15" ht="21" customHeight="1">
      <c r="A15" s="5" t="inlineStr">
        <is>
          <t>1000 A Siemens kompakt şalter</t>
        </is>
      </c>
      <c r="B15" s="6" t="inlineStr">
        <is>
          <t>Ürün sayfası</t>
        </is>
      </c>
      <c r="C15" s="8">
        <v>121951.64</v>
      </c>
      <c r="D15" s="2" t="inlineStr">
        <is>
          <t>Tümpa liste fiyatı.</t>
        </is>
      </c>
    </row>
    <row r="16" ht="21" customHeight="1">
      <c r="A16" s="5" t="inlineStr">
        <is>
          <t>Siemens SENTRON 3NP1124-1CA20, 4P NH000 sigortalı ayırıcı</t>
        </is>
      </c>
      <c r="B16" s="6" t="inlineStr">
        <is>
          <t>Ürün sayfası</t>
        </is>
      </c>
      <c r="C16" s="8" t="inlineStr">
        <v>5946.48</v>
        <is>
          <t>Teklif gerekli</t>
        </is>
      </c>
      <c r="D16" s="2" t="inlineStr">
        <is>
          <t>Siemens ürün ailesi; 4 kutuplu NH000, 160 A gövde. Fiyat Türkiye tedarikçisi/sigorta seti için doğrulanamadı. Her VFD başına 1 takım varsayılmıştır; faz sigortaları ve nötr kutbu uygulaması Delta VFD üretici tablosu/proje hesabıyla doğrulanmalıdır.</t>
        </is>
      </c>
    </row>
    <row r="17" ht="21" customHeight="1">
      <c r="A17" s="5" t="inlineStr">
        <is>
          <t>Delta 18,5 kW VFD</t>
        </is>
      </c>
      <c r="B17" s="6" t="inlineStr">
        <is>
          <t>Ürün sayfası</t>
        </is>
      </c>
      <c r="C17" s="8">
        <v>45441.0</v>
      </c>
      <c r="D17" s="2" t="inlineStr">
        <is>
          <t>Sayhan çevrimiçi fiyatı.</t>
        </is>
      </c>
    </row>
    <row r="18" ht="21" customHeight="1">
      <c r="A18" s="5" t="inlineStr">
        <is>
          <t>ABB 160 A kompakt şalter</t>
        </is>
      </c>
      <c r="B18" s="6" t="inlineStr">
        <is>
          <t>Ürün sayfası</t>
        </is>
      </c>
      <c r="C18" s="8">
        <v>4530.79</v>
      </c>
      <c r="D18" s="2" t="inlineStr">
        <is>
          <t>Tümpa fiyatı + KDV olarak raporlandı.</t>
        </is>
      </c>
    </row>
    <row r="19" ht="21" customHeight="1">
      <c r="A19" s="5" t="inlineStr">
        <is>
          <t>Siemens 9–12,5 A MPCB</t>
        </is>
      </c>
      <c r="B19" s="6" t="inlineStr">
        <is>
          <t>Ürün sayfası</t>
        </is>
      </c>
      <c r="C19" s="8">
        <v>6099.0</v>
      </c>
      <c r="D19" s="2" t="inlineStr">
        <is>
          <t>KRC linki; KRC fiyatı okunamadığından aynı model karşılaştırma fiyatı kullanıldı.</t>
        </is>
      </c>
    </row>
    <row r="20" ht="21" customHeight="1">
      <c r="A20" s="5" t="inlineStr">
        <is>
          <t>Siemens 12 A kontaktör</t>
        </is>
      </c>
      <c r="B20" s="6" t="inlineStr">
        <is>
          <t>Ürün sayfası</t>
        </is>
      </c>
      <c r="C20" s="8">
        <v>1230.95</v>
      </c>
      <c r="D20" s="2" t="inlineStr">
        <is>
          <t>Zeybek listeleme fiyatı; güncel ürün/kod/stok doğrulaması gerekli.</t>
        </is>
      </c>
    </row>
    <row r="21" ht="21" customHeight="1">
      <c r="A21" s="5" t="inlineStr">
        <is>
          <t>ENDA ATSP4 zaman rölesi</t>
        </is>
      </c>
      <c r="B21" s="6" t="inlineStr">
        <is>
          <t>Ürün sayfası</t>
        </is>
      </c>
      <c r="C21" s="8">
        <v>1039.5</v>
      </c>
      <c r="D21" s="2" t="inlineStr">
        <is>
          <t>Sayhan indirimli fiyatı; Y/Δ fonksiyonunu teyit edin.</t>
        </is>
      </c>
    </row>
    <row r="22" ht="21" customHeight="1">
      <c r="A22" s="5" t="inlineStr">
        <is>
          <t>Omron 24 V güç kaynağı</t>
        </is>
      </c>
      <c r="B22" s="6" t="inlineStr">
        <is>
          <t>Ürün sayfası</t>
        </is>
      </c>
      <c r="C22" s="8">
        <v>2062.84</v>
      </c>
      <c r="D22" s="2" t="inlineStr">
        <is>
          <t>Huzur Elektromarket fiyatı + KDV olarak raporlandı.</t>
        </is>
      </c>
    </row>
    <row r="23" ht="21" customHeight="1">
      <c r="A23" s="5" t="inlineStr">
        <is>
          <t>Waveshare ESP32-S3-POE-ETH-8DI-8DO</t>
        </is>
      </c>
      <c r="B23" s="6" t="inlineStr">
        <is>
          <t>Ürün sayfası</t>
        </is>
      </c>
      <c r="C23" s="8">
        <v>4000.0</v>
      </c>
      <c r="D23" s="2" t="inlineStr">
        <is>
          <t>Kullanıcının belirttiği fiyat.</t>
        </is>
      </c>
    </row>
    <row r="24" ht="21" customHeight="1">
      <c r="A24" s="5" t="inlineStr">
        <is>
          <t>Waveshare 16 kanal röle kartı</t>
        </is>
      </c>
      <c r="B24" s="6" t="inlineStr">
        <is>
          <t>Ürün sayfası</t>
        </is>
      </c>
      <c r="C24" s="8">
        <v>6400.0</v>
      </c>
      <c r="D24" s="2" t="inlineStr">
        <is>
          <t>Kullanıcının belirttiği fiyat.</t>
        </is>
      </c>
    </row>
    <row r="25" ht="21" customHeight="1">
      <c r="A25" s="5" t="inlineStr">
        <is>
          <t>Loobar LB.4409.250</t>
        </is>
      </c>
      <c r="B25" s="6" t="inlineStr">
        <is>
          <t>Ürün sayfası</t>
        </is>
      </c>
      <c r="C25" s="5" t="inlineStr">
        <is>
          <t>Teklif gerekli</t>
        </is>
      </c>
      <c r="D25" s="2" t="inlineStr">
        <is>
          <t>KRC ürün bağlantısı; güncel fiyat/stok teyit edilmedi, teklif gerekli.</t>
        </is>
      </c>
    </row>
    <row r="26" ht="30" customHeight="1">
      <c r="A26" s="5" t="inlineStr">
        <is>
          <t>Loobar LB.4212.600, 600 A bakır baralı dağıtıcı</t>
        </is>
      </c>
      <c r="B26" s="6" t="inlineStr">
        <is>
          <t>Ürün sayfası</t>
        </is>
      </c>
      <c r="C26" s="8">
        <v>11816.92</v>
      </c>
      <c r="D26" s="2" t="inlineStr">
        <is>
          <t>Loobar ürün sayfasında 11.816,92 TL + KDV liste fiyatı olarak görülen tutar; stok/fiyat sipariş öncesi teyit edilmeli. Toplu listede 1 adet geçici varsayımdır; pano bazlı adet belirtilmediği için pano BOM’larına eklenmedi.</t>
        </is>
      </c>
    </row>
  </sheetData>
  <mergeCells count="11">
    <mergeCell ref="A1:D1"/>
    <mergeCell ref="A2:D2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hyperlinks>
    <hyperlink ref="B15" r:id="rId1"/>
    <hyperlink ref="B16" r:id="rId2"/>
    <hyperlink ref="B17" r:id="rId3"/>
    <hyperlink ref="B18" r:id="rId4"/>
    <hyperlink ref="B19" r:id="rId5"/>
    <hyperlink ref="B20" r:id="rId6"/>
    <hyperlink ref="B21" r:id="rId7"/>
    <hyperlink ref="B22" r:id="rId8"/>
    <hyperlink ref="B23" r:id="rId9"/>
    <hyperlink ref="B24" r:id="rId10"/>
    <hyperlink ref="B25" r:id="rId11"/>
    <hyperlink ref="B26" r:id="rId12"/>
  </hyperlinks>
  <pageMargins left="0.25" right="0.25" top="0.5" bottom="0.5" header="0.2" footer="0.2"/>
</worksheet>
</file>