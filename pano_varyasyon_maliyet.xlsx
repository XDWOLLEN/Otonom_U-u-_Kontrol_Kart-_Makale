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liyet Tablosu" sheetId="1" r:id="rId1"/>
    <sheet name="Varsayımlar ve Kaynaklar" sheetId="2" r:id="rId2"/>
  </sheets>
  <calcPr calcId="191029" calcMode="auto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6">
    <font>
      <sz val="11"/>
      <name val="Calibri"/>
    </font>
    <font>
      <b/>
      <sz val="16"/>
      <color rgb="FFFFFFFF"/>
      <name val="Calibri"/>
    </font>
    <font>
      <i/>
      <sz val="10"/>
      <color rgb="FF555555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u/>
      <color rgb="FF0563C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ill="1" applyFont="1"/>
    <xf numFmtId="0" fontId="2" fillId="0" borderId="0" xfId="0" applyFont="1" applyAlignment="1">
      <alignment wrapText="1"/>
    </xf>
    <xf numFmtId="0" fontId="3" fillId="3" borderId="1" xfId="0" applyFill="1" applyFont="1" applyAlignment="1">
      <alignment horizontal="center" wrapText="1"/>
    </xf>
    <xf numFmtId="0" fontId="4" fillId="4" borderId="1" xfId="0" applyFill="1" applyFont="1" applyAlignment="1">
      <alignment horizontal="center" wrapText="1"/>
    </xf>
    <xf numFmtId="0" fontId="0" fillId="0" borderId="1" xfId="0" applyBorder="1" applyAlignment="1">
      <alignment wrapText="1" vertical="center"/>
    </xf>
    <xf numFmtId="0" fontId="5" fillId="0" borderId="1" xfId="0" applyFont="1" applyBorder="1"/>
    <xf numFmtId="0" fontId="0" fillId="5" borderId="1" xfId="0" applyFill="1" applyBorder="1" applyAlignment="1">
      <alignment wrapText="1"/>
    </xf>
    <xf numFmtId="164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164" fontId="0" fillId="5" borderId="1" xfId="0" applyNumberForma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tumpaelektrik.com/salt-malzeme/siemens-3va2510-5hl42-0aa0-kompakt-salter-400-1000a-55ka" TargetMode="External" /><ns0:Relationship Id="rId2" Type="http://schemas.openxmlformats.org/officeDocument/2006/relationships/hyperlink" Target="https://www.elektrix.com/36-40a-motor-koruma-salteri" TargetMode="External" /><ns0:Relationship Id="rId3" Type="http://schemas.openxmlformats.org/officeDocument/2006/relationships/hyperlink" Target="https://www.sayhanelektrik.com/urun/delta-vfd185e43a-trifaze-hiz-kontrol-cihazi-18-5-kw" TargetMode="External" /><ns0:Relationship Id="rId4" Type="http://schemas.openxmlformats.org/officeDocument/2006/relationships/hyperlink" Target="https://www.sayhanelektrik.com/urun/enda-atsp4-analog-zaman-rolesi" TargetMode="External" /><ns0:Relationship Id="rId5" Type="http://schemas.openxmlformats.org/officeDocument/2006/relationships/hyperlink" Target="https://www.huzurelektromarket.com.tr/urun/s8vk-c24024-guc-kaynagi-10-amper-omron/" TargetMode="External" /><ns0:Relationship Id="rId6" Type="http://schemas.openxmlformats.org/officeDocument/2006/relationships/hyperlink" Target="https://www.waveshare.com/esp32-s3-poe-eth-8di-8do.htm" TargetMode="External" /><ns0:Relationship Id="rId7" Type="http://schemas.openxmlformats.org/officeDocument/2006/relationships/hyperlink" Target="https://www.waveshare.com/Modbus-POE-ETH-Relay-16CH.htm" TargetMode="External" /><ns0:Relationship Id="rId8" Type="http://schemas.openxmlformats.org/officeDocument/2006/relationships/hyperlink" Target="https://tumpaelektrik.com/salt-malzeme/siemens-3va2510-5hl42-0aa0-kompakt-salter-400-1000a-55ka" TargetMode="External" /><ns0:Relationship Id="rId9" Type="http://schemas.openxmlformats.org/officeDocument/2006/relationships/hyperlink" Target="https://www.elektrix.com/36-40a-motor-koruma-salteri" TargetMode="External" /><ns0:Relationship Id="rId10" Type="http://schemas.openxmlformats.org/officeDocument/2006/relationships/hyperlink" Target="https://www.sayhanelektrik.com/urun/delta-vfd185e43a-trifaze-hiz-kontrol-cihazi-18-5-kw" TargetMode="External" /><ns0:Relationship Id="rId11" Type="http://schemas.openxmlformats.org/officeDocument/2006/relationships/hyperlink" Target="https://www.huzurelektromarket.com.tr/urun/s8vk-c24024-guc-kaynagi-10-amper-omron/" TargetMode="External" /><ns0:Relationship Id="rId12" Type="http://schemas.openxmlformats.org/officeDocument/2006/relationships/hyperlink" Target="https://www.waveshare.com/esp32-s3-poe-eth-8di-8do.htm" TargetMode="External" /><ns0:Relationship Id="rId13" Type="http://schemas.openxmlformats.org/officeDocument/2006/relationships/hyperlink" Target="https://www.waveshare.com/Modbus-POE-ETH-Relay-16CH.htm" TargetMode="External" /><ns0:Relationship Id="rId14" Type="http://schemas.openxmlformats.org/officeDocument/2006/relationships/hyperlink" Target="https://tumpaelektrik.com/salt-malzeme/siemens-3va2510-5hl42-0aa0-kompakt-salter-400-1000a-55ka" TargetMode="External" /><ns0:Relationship Id="rId15" Type="http://schemas.openxmlformats.org/officeDocument/2006/relationships/hyperlink" Target="https://www.elektrix.com/36-40a-motor-koruma-salteri" TargetMode="External" /><ns0:Relationship Id="rId16" Type="http://schemas.openxmlformats.org/officeDocument/2006/relationships/hyperlink" Target="https://tumpaelektrik.com/guc-kontaktoru/siemens-3rt2028-1bb40-sirius-kontaktor-40a-24v-dc-18-5kw" TargetMode="External" /><ns0:Relationship Id="rId18" Type="http://schemas.openxmlformats.org/officeDocument/2006/relationships/hyperlink" Target="https://www.sayhanelektrik.com/urun/enda-atsp4-analog-zaman-rolesi" TargetMode="External" /><ns0:Relationship Id="rId19" Type="http://schemas.openxmlformats.org/officeDocument/2006/relationships/hyperlink" Target="https://www.huzurelektromarket.com.tr/urun/s8vk-c24024-guc-kaynagi-10-amper-omron/" TargetMode="External" /><ns0:Relationship Id="rId20" Type="http://schemas.openxmlformats.org/officeDocument/2006/relationships/hyperlink" Target="https://www.waveshare.com/esp32-s3-poe-eth-8di-8do.htm" TargetMode="External" /><ns0:Relationship Id="rId21" Type="http://schemas.openxmlformats.org/officeDocument/2006/relationships/hyperlink" Target="https://www.waveshare.com/Modbus-POE-ETH-Relay-16CH.htm" TargetMode="External" /><ns0:Relationship Id="rId22" Type="http://schemas.openxmlformats.org/officeDocument/2006/relationships/hyperlink" Target="https://tumpaelektrik.com/salt-malzeme/siemens-3va2510-5hl42-0aa0-kompakt-salter-400-1000a-55ka" TargetMode="External" /><ns0:Relationship Id="rId23" Type="http://schemas.openxmlformats.org/officeDocument/2006/relationships/hyperlink" Target="https://www.elektrix.com/36-40a-motor-koruma-salteri" TargetMode="External" /><ns0:Relationship Id="rId24" Type="http://schemas.openxmlformats.org/officeDocument/2006/relationships/hyperlink" Target="https://tumpaelektrik.com/guc-kontaktoru/siemens-3rt2028-1bb40-sirius-kontaktor-40a-24v-dc-18-5kw" TargetMode="External" /><ns0:Relationship Id="rId26" Type="http://schemas.openxmlformats.org/officeDocument/2006/relationships/hyperlink" Target="https://www.huzurelektromarket.com.tr/urun/s8vk-c24024-guc-kaynagi-10-amper-omron/" TargetMode="External" /><ns0:Relationship Id="rId27" Type="http://schemas.openxmlformats.org/officeDocument/2006/relationships/hyperlink" Target="https://www.waveshare.com/esp32-s3-poe-eth-8di-8do.htm" TargetMode="External" /><ns0:Relationship Id="rId28" Type="http://schemas.openxmlformats.org/officeDocument/2006/relationships/hyperlink" Target="https://www.waveshare.com/Modbus-POE-ETH-Relay-16CH.htm" TargetMode="External" /><ns0:Relationship Id="rId29" Type="http://schemas.openxmlformats.org/officeDocument/2006/relationships/hyperlink" Target="https://tumpaelektrik.com/kompakt-salter/abb-1sda066782r1-formula-kompakt-salter-a2n-160a" TargetMode="External" /><ns0:Relationship Id="rId30" Type="http://schemas.openxmlformats.org/officeDocument/2006/relationships/hyperlink" Target="https://mall.industry.siemens.com/mall/en/WW/Catalog/Product/3RV2011-1KA10" TargetMode="External" /><ns0:Relationship Id="rId31" Type="http://schemas.openxmlformats.org/officeDocument/2006/relationships/hyperlink" Target="https://www.elpimshop.com/siemens-kontaktor-55kw-1na-24v-dc-3rt2017-1bb41" TargetMode="External" /><ns0:Relationship Id="rId33" Type="http://schemas.openxmlformats.org/officeDocument/2006/relationships/hyperlink" Target="https://www.sayhanelektrik.com/urun/enda-atsp4-analog-zaman-rolesi" TargetMode="External" /><ns0:Relationship Id="rId34" Type="http://schemas.openxmlformats.org/officeDocument/2006/relationships/hyperlink" Target="https://www.huzurelektromarket.com.tr/urun/s8vk-c24024-guc-kaynagi-10-amper-omron/" TargetMode="External" /><ns0:Relationship Id="rId35" Type="http://schemas.openxmlformats.org/officeDocument/2006/relationships/hyperlink" Target="https://www.waveshare.com/esp32-s3-poe-eth-8di-8do.htm" TargetMode="External" /><ns0:Relationship Id="rId36" Type="http://schemas.openxmlformats.org/officeDocument/2006/relationships/hyperlink" Target="https://www.waveshare.com/Modbus-POE-ETH-Relay-16CH.htm" TargetMode="External" /><ns0:Relationship Id="rId37" Type="http://schemas.openxmlformats.org/officeDocument/2006/relationships/hyperlink" Target="https://tumpaelektrik.com/kompakt-salter/abb-1sda066782r1-formula-kompakt-salter-a2n-160a" TargetMode="External" /><ns0:Relationship Id="rId38" Type="http://schemas.openxmlformats.org/officeDocument/2006/relationships/hyperlink" Target="https://mall.industry.siemens.com/mall/en/WW/Catalog/Product/3RV2011-1KA10" TargetMode="External" /><ns0:Relationship Id="rId39" Type="http://schemas.openxmlformats.org/officeDocument/2006/relationships/hyperlink" Target="https://www.elpimshop.com/siemens-kontaktor-55kw-1na-24v-dc-3rt2017-1bb41" TargetMode="External" /><ns0:Relationship Id="rId41" Type="http://schemas.openxmlformats.org/officeDocument/2006/relationships/hyperlink" Target="https://www.huzurelektromarket.com.tr/urun/s8vk-c24024-guc-kaynagi-10-amper-omron/" TargetMode="External" /><ns0:Relationship Id="rId42" Type="http://schemas.openxmlformats.org/officeDocument/2006/relationships/hyperlink" Target="https://www.waveshare.com/esp32-s3-poe-eth-8di-8do.htm" TargetMode="External" /><ns0:Relationship Id="rId43" Type="http://schemas.openxmlformats.org/officeDocument/2006/relationships/hyperlink" Target="https://www.waveshare.com/Modbus-POE-ETH-Relay-16CH.htm" TargetMode="External" /><ns0:Relationship Id="rId44" Type="http://schemas.openxmlformats.org/officeDocument/2006/relationships/hyperlink" Target="https://tumpaelektrik.com/kompakt-salter/abb-1sda066782r1-formula-kompakt-salter-a2n-160a" TargetMode="External" /><ns0:Relationship Id="rId45" Type="http://schemas.openxmlformats.org/officeDocument/2006/relationships/hyperlink" Target="https://mall.industry.siemens.com/mall/en/WW/Catalog/Product/3RV2011-1KA10" TargetMode="External" /><ns0:Relationship Id="rId46" Type="http://schemas.openxmlformats.org/officeDocument/2006/relationships/hyperlink" Target="https://www.elpimshop.com/siemens-kontaktor-55kw-1na-24v-dc-3rt2017-1bb41" TargetMode="External" /><ns0:Relationship Id="rId48" Type="http://schemas.openxmlformats.org/officeDocument/2006/relationships/hyperlink" Target="https://www.sayhanelektrik.com/urun/enda-atsp4-analog-zaman-rolesi" TargetMode="External" /><ns0:Relationship Id="rId49" Type="http://schemas.openxmlformats.org/officeDocument/2006/relationships/hyperlink" Target="https://www.huzurelektromarket.com.tr/urun/s8vk-c24024-guc-kaynagi-10-amper-omron/" TargetMode="External" /><ns0:Relationship Id="rId50" Type="http://schemas.openxmlformats.org/officeDocument/2006/relationships/hyperlink" Target="https://www.waveshare.com/esp32-s3-poe-eth-8di-8do.htm" TargetMode="External" /><ns0:Relationship Id="rId51" Type="http://schemas.openxmlformats.org/officeDocument/2006/relationships/hyperlink" Target="https://www.waveshare.com/Modbus-POE-ETH-Relay-16CH.htm" TargetMode="External" /><ns0:Relationship Id="rId52" Type="http://schemas.openxmlformats.org/officeDocument/2006/relationships/hyperlink" Target="https://tumpaelektrik.com/kompakt-salter/abb-1sda066782r1-formula-kompakt-salter-a2n-160a" TargetMode="External" /><ns0:Relationship Id="rId53" Type="http://schemas.openxmlformats.org/officeDocument/2006/relationships/hyperlink" Target="https://mall.industry.siemens.com/mall/en/WW/Catalog/Product/3RV2011-1KA10" TargetMode="External" /><ns0:Relationship Id="rId54" Type="http://schemas.openxmlformats.org/officeDocument/2006/relationships/hyperlink" Target="https://www.elpimshop.com/siemens-kontaktor-55kw-1na-24v-dc-3rt2017-1bb41" TargetMode="External" /><ns0:Relationship Id="rId56" Type="http://schemas.openxmlformats.org/officeDocument/2006/relationships/hyperlink" Target="https://www.huzurelektromarket.com.tr/urun/s8vk-c24024-guc-kaynagi-10-amper-omron/" TargetMode="External" /><ns0:Relationship Id="rId57" Type="http://schemas.openxmlformats.org/officeDocument/2006/relationships/hyperlink" Target="https://www.waveshare.com/esp32-s3-poe-eth-8di-8do.htm" TargetMode="External" /><ns0:Relationship Id="rId58" Type="http://schemas.openxmlformats.org/officeDocument/2006/relationships/hyperlink" Target="https://www.waveshare.com/Modbus-POE-ETH-Relay-16CH.htm" TargetMode="External" /><ns0:Relationship Id="rId59" Type="http://schemas.openxmlformats.org/officeDocument/2006/relationships/hyperlink" Target="https://www.hepsiburada.com/kucuk-arslanlar-30x10-bakir-lama-bara-pm-HBC00005R1KKT" TargetMode="External" /><ns0:Relationship Id="rId60" Type="http://schemas.openxmlformats.org/officeDocument/2006/relationships/hyperlink" Target="https://www.hepsiburada.com/uzunoglu-bakir-bakir-lama-bara-20x5-1m-pm-HBC00008AW32J" TargetMode="External" /><ns0:Relationship Id="rId61" Type="http://schemas.openxmlformats.org/officeDocument/2006/relationships/hyperlink" Target="https://www.hepsiburada.com/kucuk-arslanlar-30x10-bakir-lama-bara-pm-HBC00005R1KKT" TargetMode="External" /><ns0:Relationship Id="rId62" Type="http://schemas.openxmlformats.org/officeDocument/2006/relationships/hyperlink" Target="https://www.hepsiburada.com/uzunoglu-bakir-bakir-lama-bara-20x5-1m-pm-HBC00008AW32J" TargetMode="External" /><ns0:Relationship Id="rId63" Type="http://schemas.openxmlformats.org/officeDocument/2006/relationships/hyperlink" Target="https://www.hepsiburada.com/kucuk-arslanlar-30x10-bakir-lama-bara-pm-HBC00005R1KKT" TargetMode="External" /><ns0:Relationship Id="rId64" Type="http://schemas.openxmlformats.org/officeDocument/2006/relationships/hyperlink" Target="https://www.hepsiburada.com/uzunoglu-bakir-bakir-lama-bara-20x5-1m-pm-HBC00008AW32J" TargetMode="External" /><ns0:Relationship Id="rId65" Type="http://schemas.openxmlformats.org/officeDocument/2006/relationships/hyperlink" Target="https://www.hepsiburada.com/kucuk-arslanlar-30x10-bakir-lama-bara-pm-HBC00005R1KKT" TargetMode="External" /><ns0:Relationship Id="rId66" Type="http://schemas.openxmlformats.org/officeDocument/2006/relationships/hyperlink" Target="https://www.hepsiburada.com/uzunoglu-bakir-bakir-lama-bara-20x5-1m-pm-HBC00008AW32J" TargetMode="External" /><ns0:Relationship Id="rId67" Type="http://schemas.openxmlformats.org/officeDocument/2006/relationships/hyperlink" Target="https://www.hepsiburada.com/uzunoglu-bakir-bakir-lama-bara-20x5-1m-pm-HBC00008AW32J" TargetMode="External" /><ns0:Relationship Id="rId68" Type="http://schemas.openxmlformats.org/officeDocument/2006/relationships/hyperlink" Target="https://www.hepsiburada.com/uzunoglu-bakir-bakir-lama-bara-20x5-1m-pm-HBC00008AW32J" TargetMode="External" /><ns0:Relationship Id="rId69" Type="http://schemas.openxmlformats.org/officeDocument/2006/relationships/hyperlink" Target="https://www.hepsiburada.com/uzunoglu-bakir-bakir-lama-bara-20x5-1m-pm-HBC00008AW32J" TargetMode="External" /><ns0:Relationship Id="rId70" Type="http://schemas.openxmlformats.org/officeDocument/2006/relationships/hyperlink" Target="https://www.hepsiburada.com/uzunoglu-bakir-bakir-lama-bara-20x5-1m-pm-HBC00008AW32J" TargetMode="External" /><ns0:Relationship Id="rId71" Type="http://schemas.openxmlformats.org/officeDocument/2006/relationships/hyperlink" Target="https://www.hepsiburada.com/uzunoglu-bakir-bakir-lama-bara-20x5-1m-pm-HBC00008AW32J" TargetMode="External" /><ns0:Relationship Id="rId72" Type="http://schemas.openxmlformats.org/officeDocument/2006/relationships/hyperlink" Target="https://www.hepsiburada.com/uzunoglu-bakir-bakir-lama-bara-20x5-1m-pm-HBC00008AW32J" TargetMode="External" /><ns0:Relationship Id="rId73" Type="http://schemas.openxmlformats.org/officeDocument/2006/relationships/hyperlink" Target="https://www.hepsiburada.com/uzunoglu-bakir-bakir-lama-bara-20x5-1m-pm-HBC00008AW32J" TargetMode="External" /><ns0:Relationship Id="rId74" Type="http://schemas.openxmlformats.org/officeDocument/2006/relationships/hyperlink" Target="https://www.hepsiburada.com/uzunoglu-bakir-bakir-lama-bara-20x5-1m-pm-HBC00008AW32J" TargetMode="External" /></ns0:Relationships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hyperlink" Target="https://www.sayhanelektrik.com/urun/delta-vfd185e43a-trifaze-hiz-kontrol-cihazi-18-5-kw" TargetMode="External" /><ns0:Relationship Id="rId2" Type="http://schemas.openxmlformats.org/officeDocument/2006/relationships/hyperlink" Target="https://tumpaelektrik.com/salt-malzeme/siemens-3va2510-5hl42-0aa0-kompakt-salter-400-1000a-55ka" TargetMode="External" /><ns0:Relationship Id="rId3" Type="http://schemas.openxmlformats.org/officeDocument/2006/relationships/hyperlink" Target="https://tumpaelektrik.com/kompakt-salter/abb-1sda066782r1-formula-kompakt-salter-a2n-160a" TargetMode="External" /><ns0:Relationship Id="rId4" Type="http://schemas.openxmlformats.org/officeDocument/2006/relationships/hyperlink" Target="https://www.elektrix.com/36-40a-motor-koruma-salteri" TargetMode="External" /><ns0:Relationship Id="rId5" Type="http://schemas.openxmlformats.org/officeDocument/2006/relationships/hyperlink" Target="https://mall.industry.siemens.com/mall/en/WW/Catalog/Product/3RV2011-1KA10" TargetMode="External" /><ns0:Relationship Id="rId6" Type="http://schemas.openxmlformats.org/officeDocument/2006/relationships/hyperlink" Target="https://tumpaelektrik.com/guc-kontaktoru/siemens-3rt2028-1bb40-sirius-kontaktor-40a-24v-dc-18-5kw" TargetMode="External" /><ns0:Relationship Id="rId7" Type="http://schemas.openxmlformats.org/officeDocument/2006/relationships/hyperlink" Target="https://www.elpimshop.com/siemens-kontaktor-55kw-1na-24v-dc-3rt2017-1bb41" TargetMode="External" /><ns0:Relationship Id="rId10" Type="http://schemas.openxmlformats.org/officeDocument/2006/relationships/hyperlink" Target="https://www.sayhanelektrik.com/urun/enda-atsp4-analog-zaman-rolesi" TargetMode="External" /><ns0:Relationship Id="rId11" Type="http://schemas.openxmlformats.org/officeDocument/2006/relationships/hyperlink" Target="https://www.huzurelektromarket.com.tr/urun/s8vk-c24024-guc-kaynagi-10-amper-omron/" TargetMode="External" /><ns0:Relationship Id="rId12" Type="http://schemas.openxmlformats.org/officeDocument/2006/relationships/hyperlink" Target="https://www.waveshare.com/Modbus-POE-ETH-Relay-16CH.htm" TargetMode="External" /><ns0:Relationship Id="rId13" Type="http://schemas.openxmlformats.org/officeDocument/2006/relationships/hyperlink" Target="https://www.waveshare.com/esp32-s3-poe-eth-8di-8do.htm" TargetMode="External" /><ns0:Relationship Id="rId14" Type="http://schemas.openxmlformats.org/officeDocument/2006/relationships/hyperlink" Target="https://www.hepsiburada.com/kucuk-arslanlar-30x10-bakir-lama-bara-pm-HBC00005R1KKT" TargetMode="External" /><ns0:Relationship Id="rId15" Type="http://schemas.openxmlformats.org/officeDocument/2006/relationships/hyperlink" Target="https://www.hepsiburada.com/uzunoglu-bakir-bakir-lama-bara-20x5-1m-pm-HBC00008AW32J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3" customWidth="1"/>
    <col min="3" max="3" width="16" customWidth="1"/>
    <col min="4" max="4" width="9" customWidth="1"/>
    <col min="5" max="5" width="18" customWidth="1"/>
    <col min="6" max="6" width="13.5" customWidth="1"/>
    <col min="7" max="7" width="34" customWidth="1"/>
    <col min="8" max="8" width="13" customWidth="1"/>
    <col min="9" max="9" width="16" customWidth="1"/>
    <col min="10" max="10" width="9" customWidth="1"/>
    <col min="11" max="11" width="18" customWidth="1"/>
    <col min="12" max="12" width="13.5" customWidth="1"/>
    <col min="13" max="13" width="34" customWidth="1"/>
    <col min="14" max="14" width="13" customWidth="1"/>
    <col min="15" max="15" width="16" customWidth="1"/>
    <col min="16" max="16" width="9" customWidth="1"/>
    <col min="17" max="17" width="18" customWidth="1"/>
    <col min="18" max="18" width="13.5" customWidth="1"/>
    <col min="19" max="19" width="34" customWidth="1"/>
    <col min="20" max="20" width="13" customWidth="1"/>
    <col min="21" max="21" width="16" customWidth="1"/>
    <col min="22" max="22" width="9" customWidth="1"/>
    <col min="23" max="23" width="18" customWidth="1"/>
  </cols>
  <sheetData>
    <row r="1">
      <c r="A1" s="1" t="inlineStr">
        <is>
          <t xml:space="preserve">PANO VARYASYONLARI — ÖN MALİYET ÇALIŞMASI</t>
        </is>
      </c>
    </row>
    <row r="2">
      <c r="A2" s="2" t="inlineStr">
        <is>
          <t xml:space="preserve">Fiyatlar ve teknik seçimler ön bütçedir; stok, KDV ve motor etiket akımı satın alma öncesi teyit edilmelidir. Detaylar: “Varsayımlar ve Kaynaklar” sayfası.</t>
        </is>
      </c>
    </row>
    <row r="3"/>
    <row r="4"/>
    <row r="5">
      <c r="A5" s="3" t="inlineStr">
        <is>
          <t xml:space="preserve">18,5 kW POMPA (20 MOTOR) | Sürücülü + zaman röleli</t>
        </is>
      </c>
      <c r="G5" s="3" t="inlineStr">
        <is>
          <t xml:space="preserve">18,5 kW POMPA (20 MOTOR) | Sürücülü + zaman rölesiz</t>
        </is>
      </c>
      <c r="M5" s="3" t="inlineStr">
        <is>
          <t xml:space="preserve">18,5 kW POMPA (20 MOTOR) | Sürücüsüz + zaman röleli</t>
        </is>
      </c>
      <c r="S5" s="3" t="inlineStr">
        <is>
          <t xml:space="preserve">18,5 kW POMPA (20 MOTOR) | Sürücüsüz + zaman rölesiz</t>
        </is>
      </c>
    </row>
    <row r="6">
      <c r="A6" s="4" t="inlineStr">
        <is>
          <t xml:space="preserve">Ürün</t>
        </is>
      </c>
      <c r="B6" s="4" t="inlineStr">
        <is>
          <t xml:space="preserve">Link</t>
        </is>
      </c>
      <c r="C6" s="4" t="inlineStr">
        <is>
          <t xml:space="preserve">Birim Maliyet (TL)</t>
        </is>
      </c>
      <c r="D6" s="4" t="inlineStr">
        <is>
          <t xml:space="preserve">Adet</t>
        </is>
      </c>
      <c r="E6" s="4" t="inlineStr">
        <is>
          <t xml:space="preserve">Toplam Maliyet (TL)</t>
        </is>
      </c>
      <c r="G6" s="4" t="inlineStr">
        <is>
          <t xml:space="preserve">Ürün</t>
        </is>
      </c>
      <c r="H6" s="4" t="inlineStr">
        <is>
          <t xml:space="preserve">Link</t>
        </is>
      </c>
      <c r="I6" s="4" t="inlineStr">
        <is>
          <t xml:space="preserve">Birim Maliyet (TL)</t>
        </is>
      </c>
      <c r="J6" s="4" t="inlineStr">
        <is>
          <t xml:space="preserve">Adet</t>
        </is>
      </c>
      <c r="K6" s="4" t="inlineStr">
        <is>
          <t xml:space="preserve">Toplam Maliyet (TL)</t>
        </is>
      </c>
      <c r="M6" s="4" t="inlineStr">
        <is>
          <t xml:space="preserve">Ürün</t>
        </is>
      </c>
      <c r="N6" s="4" t="inlineStr">
        <is>
          <t xml:space="preserve">Link</t>
        </is>
      </c>
      <c r="O6" s="4" t="inlineStr">
        <is>
          <t xml:space="preserve">Birim Maliyet (TL)</t>
        </is>
      </c>
      <c r="P6" s="4" t="inlineStr">
        <is>
          <t xml:space="preserve">Adet</t>
        </is>
      </c>
      <c r="Q6" s="4" t="inlineStr">
        <is>
          <t xml:space="preserve">Toplam Maliyet (TL)</t>
        </is>
      </c>
      <c r="S6" s="4" t="inlineStr">
        <is>
          <t xml:space="preserve">Ürün</t>
        </is>
      </c>
      <c r="T6" s="4" t="inlineStr">
        <is>
          <t xml:space="preserve">Link</t>
        </is>
      </c>
      <c r="U6" s="4" t="inlineStr">
        <is>
          <t xml:space="preserve">Birim Maliyet (TL)</t>
        </is>
      </c>
      <c r="V6" s="4" t="inlineStr">
        <is>
          <t xml:space="preserve">Adet</t>
        </is>
      </c>
      <c r="W6" s="4" t="inlineStr">
        <is>
          <t xml:space="preserve">Toplam Maliyet (TL)</t>
        </is>
      </c>
    </row>
    <row r="7">
      <c r="A7" s="5" t="inlineStr">
        <is>
          <t xml:space="preserve">Siemens 3VA2510-5HL42-0AA0 kompakt şalter, 1000 A çerçeve</t>
        </is>
      </c>
      <c r="B7" s="6" t="inlineStr">
        <is>
          <t xml:space="preserve">Ürün sayfası</t>
        </is>
      </c>
      <c r="C7" s="8">
        <v>121951.64</v>
      </c>
      <c r="D7" s="5">
        <v>1</v>
      </c>
      <c r="E7" s="9">
        <f>C7*D7</f>
        <v/>
      </c>
      <c r="G7" s="5" t="inlineStr">
        <is>
          <t xml:space="preserve">Siemens 3VA2510-5HL42-0AA0 kompakt şalter, 1000 A çerçeve</t>
        </is>
      </c>
      <c r="H7" s="6" t="inlineStr">
        <is>
          <t xml:space="preserve">Ürün sayfası</t>
        </is>
      </c>
      <c r="I7" s="8">
        <v>121951.64</v>
      </c>
      <c r="J7" s="5">
        <v>1</v>
      </c>
      <c r="K7" s="9">
        <f>I7*J7</f>
        <v/>
      </c>
      <c r="M7" s="5" t="inlineStr">
        <is>
          <t xml:space="preserve">Siemens 3VA2510-5HL42-0AA0 kompakt şalter, 1000 A çerçeve</t>
        </is>
      </c>
      <c r="N7" s="6" t="inlineStr">
        <is>
          <t xml:space="preserve">Ürün sayfası</t>
        </is>
      </c>
      <c r="O7" s="8">
        <v>121951.64</v>
      </c>
      <c r="P7" s="5">
        <v>1</v>
      </c>
      <c r="Q7" s="9">
        <f>O7*P7</f>
        <v/>
      </c>
      <c r="S7" s="5" t="inlineStr">
        <is>
          <t xml:space="preserve">Siemens 3VA2510-5HL42-0AA0 kompakt şalter, 1000 A çerçeve</t>
        </is>
      </c>
      <c r="T7" s="6" t="inlineStr">
        <is>
          <t xml:space="preserve">Ürün sayfası</t>
        </is>
      </c>
      <c r="U7" s="8">
        <v>121951.64</v>
      </c>
      <c r="V7" s="5">
        <v>1</v>
      </c>
      <c r="W7" s="9">
        <f>U7*V7</f>
        <v/>
      </c>
    </row>
    <row r="8">
      <c r="A8" s="5" t="inlineStr">
        <is>
          <t xml:space="preserve">Siemens SIRIUS 3RV2021-4FA10, 34–40 A motor koruma şalteri (vidalı bağlantı, DIN rayı)</t>
        </is>
      </c>
      <c r="B8" s="6" t="inlineStr">
        <is>
          <t xml:space="preserve">Ürün sayfası</t>
        </is>
      </c>
      <c r="C8" s="8">
        <v>5946.48</v>
      </c>
      <c r="D8" s="5">
        <v>20</v>
      </c>
      <c r="E8" s="9">
        <f>IF(ISNUMBER(C8),C8*D8,"Teklif gerekli")</f>
        <v/>
      </c>
      <c r="G8" s="5" t="inlineStr">
        <is>
          <t xml:space="preserve">Siemens SIRIUS 3RV2021-4FA10, 34–40 A motor koruma şalteri (vidalı bağlantı, DIN rayı)</t>
        </is>
      </c>
      <c r="H8" s="6" t="inlineStr">
        <is>
          <t xml:space="preserve">Ürün sayfası</t>
        </is>
      </c>
      <c r="I8" s="8">
        <v>5946.48</v>
      </c>
      <c r="J8" s="5">
        <v>20</v>
      </c>
      <c r="K8" s="9">
        <f>IF(ISNUMBER(I8),I8*J8,"Teklif gerekli")</f>
        <v/>
      </c>
      <c r="M8" s="5" t="inlineStr">
        <is>
          <t xml:space="preserve">Siemens SIRIUS 3RV2021-4FA10, 34–40 A motor koruma şalteri (vidalı bağlantı, DIN rayı)</t>
        </is>
      </c>
      <c r="N8" s="6" t="inlineStr">
        <is>
          <t xml:space="preserve">Ürün sayfası</t>
        </is>
      </c>
      <c r="O8" s="8">
        <v>5946.48</v>
      </c>
      <c r="P8" s="5">
        <v>20</v>
      </c>
      <c r="Q8" s="9">
        <f>IF(ISNUMBER(O8),O8*P8,"Teklif gerekli")</f>
        <v/>
      </c>
      <c r="S8" s="5" t="inlineStr">
        <is>
          <t xml:space="preserve">Siemens SIRIUS 3RV2021-4FA10, 34–40 A motor koruma şalteri (vidalı bağlantı, DIN rayı)</t>
        </is>
      </c>
      <c r="T8" s="6" t="inlineStr">
        <is>
          <t xml:space="preserve">Ürün sayfası</t>
        </is>
      </c>
      <c r="U8" s="8">
        <v>5946.48</v>
      </c>
      <c r="V8" s="5">
        <v>20</v>
      </c>
      <c r="W8" s="9">
        <f>IF(ISNUMBER(U8),U8*V8,"Teklif gerekli")</f>
        <v/>
      </c>
    </row>
    <row r="9">
      <c r="A9" s="5" t="inlineStr">
        <is>
          <t xml:space="preserve">Delta VFD185E43A, 18,5 kW frekans konvertörü</t>
        </is>
      </c>
      <c r="B9" s="6" t="inlineStr">
        <is>
          <t xml:space="preserve">Ürün sayfası</t>
        </is>
      </c>
      <c r="C9" s="8">
        <v>45441.0</v>
      </c>
      <c r="D9" s="5">
        <v>20</v>
      </c>
      <c r="E9" s="9">
        <f>C9*D9</f>
        <v/>
      </c>
      <c r="G9" s="5" t="inlineStr">
        <is>
          <t xml:space="preserve">Delta VFD185E43A, 18,5 kW frekans konvertörü</t>
        </is>
      </c>
      <c r="H9" s="6" t="inlineStr">
        <is>
          <t xml:space="preserve">Ürün sayfası</t>
        </is>
      </c>
      <c r="I9" s="8">
        <v>45441.0</v>
      </c>
      <c r="J9" s="5">
        <v>20</v>
      </c>
      <c r="K9" s="9">
        <f>I9*J9</f>
        <v/>
      </c>
      <c r="M9" s="5" t="inlineStr">
        <is>
          <t xml:space="preserve">Siemens 3RT2028-1BB40, 40 A / 18,5 kW kontaktör</t>
        </is>
      </c>
      <c r="N9" s="6" t="inlineStr">
        <is>
          <t xml:space="preserve">Ürün sayfası</t>
        </is>
      </c>
      <c r="O9" s="8">
        <v>5170.0</v>
      </c>
      <c r="P9" s="5">
        <v>60</v>
      </c>
      <c r="Q9" s="9">
        <f>O9*P9</f>
        <v/>
      </c>
      <c r="S9" s="5" t="inlineStr">
        <is>
          <t xml:space="preserve">Siemens 3RT2028-1BB40, 40 A / 18,5 kW kontaktör</t>
        </is>
      </c>
      <c r="T9" s="6" t="inlineStr">
        <is>
          <t xml:space="preserve">Ürün sayfası</t>
        </is>
      </c>
      <c r="U9" s="8">
        <v>5170.0</v>
      </c>
      <c r="V9" s="5">
        <v>60</v>
      </c>
      <c r="W9" s="9">
        <f>U9*V9</f>
        <v/>
      </c>
    </row>
    <row r="10">
      <c r="A10" s="5" t="inlineStr">
        <is>
          <t xml:space="preserve">ENDA ATSP4 analog zaman rölesi (kademeli devreye alma)</t>
        </is>
      </c>
      <c r="B10" s="6" t="inlineStr">
        <is>
          <t xml:space="preserve">Ürün sayfası</t>
        </is>
      </c>
      <c r="C10" s="8">
        <v>1039.5</v>
      </c>
      <c r="D10" s="5">
        <v>20</v>
      </c>
      <c r="E10" s="9">
        <f>C10*D10</f>
        <v/>
      </c>
      <c r="G10" s="5" t="inlineStr">
        <is>
          <t xml:space="preserve">Omron S8VK-C24024, 24 V DC / 10 A güç kaynağı</t>
        </is>
      </c>
      <c r="H10" s="6" t="inlineStr">
        <is>
          <t xml:space="preserve">Ürün sayfası</t>
        </is>
      </c>
      <c r="I10" s="8">
        <v>2062.84</v>
      </c>
      <c r="J10" s="5">
        <v>1</v>
      </c>
      <c r="K10" s="9">
        <f>I10*J10</f>
        <v/>
      </c>
    </row>
    <row r="11">
      <c r="A11" s="5" t="inlineStr">
        <is>
          <t xml:space="preserve">Omron S8VK-C24024, 24 V DC / 10 A güç kaynağı</t>
        </is>
      </c>
      <c r="B11" s="6" t="inlineStr">
        <is>
          <t xml:space="preserve">Ürün sayfası</t>
        </is>
      </c>
      <c r="C11" s="8">
        <v>2062.84</v>
      </c>
      <c r="D11" s="5">
        <v>1</v>
      </c>
      <c r="E11" s="9">
        <f>C11*D11</f>
        <v/>
      </c>
      <c r="G11" s="5" t="inlineStr">
        <is>
          <t xml:space="preserve">Waveshare ESP32-S3-POE-ETH-8DI-8DO</t>
        </is>
      </c>
      <c r="H11" s="6" t="inlineStr">
        <is>
          <t xml:space="preserve">Ürün sayfası</t>
        </is>
      </c>
      <c r="I11" s="8">
        <v>4000</v>
      </c>
      <c r="J11" s="5">
        <v>1</v>
      </c>
      <c r="K11" s="9">
        <f>I11*J11</f>
        <v/>
      </c>
      <c r="M11" s="5" t="inlineStr">
        <is>
          <t xml:space="preserve">ENDA ATSP4 analog zaman rölesi (yıldız-üçgen geçişi)</t>
        </is>
      </c>
      <c r="N11" s="6" t="inlineStr">
        <is>
          <t xml:space="preserve">Ürün sayfası</t>
        </is>
      </c>
      <c r="O11" s="8">
        <v>1039.5</v>
      </c>
      <c r="P11" s="5">
        <v>20</v>
      </c>
      <c r="Q11" s="9">
        <f>O11*P11</f>
        <v/>
      </c>
      <c r="S11" s="5" t="inlineStr">
        <is>
          <t xml:space="preserve">Omron S8VK-C24024, 24 V DC / 10 A güç kaynağı</t>
        </is>
      </c>
      <c r="T11" s="6" t="inlineStr">
        <is>
          <t xml:space="preserve">Ürün sayfası</t>
        </is>
      </c>
      <c r="U11" s="8">
        <v>2062.84</v>
      </c>
      <c r="V11" s="5">
        <v>1</v>
      </c>
      <c r="W11" s="9">
        <f>U11*V11</f>
        <v/>
      </c>
    </row>
    <row r="12">
      <c r="A12" s="5" t="inlineStr">
        <is>
          <t xml:space="preserve">Waveshare ESP32-S3-POE-ETH-8DI-8DO</t>
        </is>
      </c>
      <c r="B12" s="6" t="inlineStr">
        <is>
          <t xml:space="preserve">Ürün sayfası</t>
        </is>
      </c>
      <c r="C12" s="8">
        <v>4000</v>
      </c>
      <c r="D12" s="5">
        <v>1</v>
      </c>
      <c r="E12" s="9">
        <f>C12*D12</f>
        <v/>
      </c>
      <c r="G12" s="5" t="inlineStr">
        <is>
          <t xml:space="preserve">Waveshare 16 kanallı Modbus Ethernet röle kartı</t>
        </is>
      </c>
      <c r="H12" s="6" t="inlineStr">
        <is>
          <t xml:space="preserve">Ürün sayfası</t>
        </is>
      </c>
      <c r="I12" s="8">
        <v>6400</v>
      </c>
      <c r="J12" s="5">
        <v>2</v>
      </c>
      <c r="K12" s="9">
        <f>I12*J12</f>
        <v/>
      </c>
      <c r="M12" s="5" t="inlineStr">
        <is>
          <t xml:space="preserve">Omron S8VK-C24024, 24 V DC / 10 A güç kaynağı</t>
        </is>
      </c>
      <c r="N12" s="6" t="inlineStr">
        <is>
          <t xml:space="preserve">Ürün sayfası</t>
        </is>
      </c>
      <c r="O12" s="8">
        <v>2062.84</v>
      </c>
      <c r="P12" s="5">
        <v>1</v>
      </c>
      <c r="Q12" s="9">
        <f>O12*P12</f>
        <v/>
      </c>
      <c r="S12" s="5" t="inlineStr">
        <is>
          <t xml:space="preserve">Waveshare ESP32-S3-POE-ETH-8DI-8DO</t>
        </is>
      </c>
      <c r="T12" s="6" t="inlineStr">
        <is>
          <t xml:space="preserve">Ürün sayfası</t>
        </is>
      </c>
      <c r="U12" s="8">
        <v>4000</v>
      </c>
      <c r="V12" s="5">
        <v>1</v>
      </c>
      <c r="W12" s="9">
        <f>U12*V12</f>
        <v/>
      </c>
    </row>
    <row r="13">
      <c r="A13" s="5" t="inlineStr">
        <is>
          <t xml:space="preserve">Waveshare 16 kanallı Modbus Ethernet röle kartı</t>
        </is>
      </c>
      <c r="B13" s="6" t="inlineStr">
        <is>
          <t xml:space="preserve">Ürün sayfası</t>
        </is>
      </c>
      <c r="C13" s="8">
        <v>6400</v>
      </c>
      <c r="D13" s="5">
        <v>2</v>
      </c>
      <c r="E13" s="9">
        <f>C13*D13</f>
        <v/>
      </c>
      <c r="M13" s="5" t="inlineStr">
        <is>
          <t xml:space="preserve">Waveshare ESP32-S3-POE-ETH-8DI-8DO</t>
        </is>
      </c>
      <c r="N13" s="6" t="inlineStr">
        <is>
          <t xml:space="preserve">Ürün sayfası</t>
        </is>
      </c>
      <c r="O13" s="8">
        <v>4000</v>
      </c>
      <c r="P13" s="5">
        <v>1</v>
      </c>
      <c r="Q13" s="9">
        <f>O13*P13</f>
        <v/>
      </c>
      <c r="S13" s="5" t="inlineStr">
        <is>
          <t xml:space="preserve">Waveshare 16 kanallı Modbus Ethernet röle kartı</t>
        </is>
      </c>
      <c r="T13" s="6" t="inlineStr">
        <is>
          <t xml:space="preserve">Ürün sayfası</t>
        </is>
      </c>
      <c r="U13" s="8">
        <v>6400</v>
      </c>
      <c r="V13" s="5">
        <v>4</v>
      </c>
      <c r="W13" s="9">
        <f>U13*V13</f>
        <v/>
      </c>
    </row>
    <row r="14">
      <c r="M14" s="5" t="inlineStr">
        <is>
          <t xml:space="preserve">Waveshare 16 kanallı Modbus Ethernet röle kartı</t>
        </is>
      </c>
      <c r="N14" s="6" t="inlineStr">
        <is>
          <t xml:space="preserve">Ürün sayfası</t>
        </is>
      </c>
      <c r="O14" s="8">
        <v>6400</v>
      </c>
      <c r="P14" s="5">
        <v>4</v>
      </c>
      <c r="Q14" s="9">
        <f>O14*P14</f>
        <v/>
      </c>
    </row>
    <row r="15">
      <c r="A15" s="5" t="inlineStr">
        <is>
          <t xml:space="preserve">Bakır güç barası 30×10 mm × 3 m (3 faz, 2 paralel bar/faz; ön seçim)</t>
        </is>
      </c>
      <c r="B15" s="6" t="inlineStr">
        <is>
          <t xml:space="preserve">Ürün sayfası</t>
        </is>
      </c>
      <c r="C15" s="8">
        <v>5900</v>
      </c>
      <c r="D15" s="5">
        <v>6</v>
      </c>
      <c r="E15" s="9">
        <f>C15*D15</f>
        <v/>
      </c>
      <c r="G15" s="5" t="inlineStr">
        <is>
          <t xml:space="preserve">Bakır güç barası 30×10 mm × 3 m (3 faz, 2 paralel bar/faz; ön seçim)</t>
        </is>
      </c>
      <c r="H15" s="6" t="inlineStr">
        <is>
          <t xml:space="preserve">Ürün sayfası</t>
        </is>
      </c>
      <c r="I15" s="8">
        <v>5900</v>
      </c>
      <c r="J15" s="5">
        <v>6</v>
      </c>
      <c r="K15" s="9">
        <f>I15*J15</f>
        <v/>
      </c>
      <c r="M15" s="5" t="inlineStr">
        <is>
          <t xml:space="preserve">Bakır güç barası 30×10 mm × 3 m (3 faz, 2 paralel bar/faz; ön seçim)</t>
        </is>
      </c>
      <c r="N15" s="6" t="inlineStr">
        <is>
          <t xml:space="preserve">Ürün sayfası</t>
        </is>
      </c>
      <c r="O15" s="8">
        <v>5900</v>
      </c>
      <c r="P15" s="5">
        <v>6</v>
      </c>
      <c r="Q15" s="9">
        <f>O15*P15</f>
        <v/>
      </c>
      <c r="S15" s="5" t="inlineStr">
        <is>
          <t xml:space="preserve">Bakır güç barası 30×10 mm × 3 m (3 faz, 2 paralel bar/faz; ön seçim)</t>
        </is>
      </c>
      <c r="T15" s="6" t="inlineStr">
        <is>
          <t xml:space="preserve">Ürün sayfası</t>
        </is>
      </c>
      <c r="U15" s="8">
        <v>5900</v>
      </c>
      <c r="V15" s="5">
        <v>6</v>
      </c>
      <c r="W15" s="9">
        <f>U15*V15</f>
        <v/>
      </c>
    </row>
    <row r="16">
      <c r="A16" s="5" t="inlineStr">
        <is>
          <t xml:space="preserve">Bakır PE barası 20×5 mm × 1 m (ön seçim)</t>
        </is>
      </c>
      <c r="B16" s="6" t="inlineStr">
        <is>
          <t xml:space="preserve">Ürün sayfası</t>
        </is>
      </c>
      <c r="C16" s="8">
        <v>1800</v>
      </c>
      <c r="D16" s="5">
        <v>1</v>
      </c>
      <c r="E16" s="9">
        <f>C16*D16</f>
        <v/>
      </c>
      <c r="G16" s="5" t="inlineStr">
        <is>
          <t xml:space="preserve">Bakır PE barası 20×5 mm × 1 m (ön seçim)</t>
        </is>
      </c>
      <c r="H16" s="6" t="inlineStr">
        <is>
          <t xml:space="preserve">Ürün sayfası</t>
        </is>
      </c>
      <c r="I16" s="8">
        <v>1800</v>
      </c>
      <c r="J16" s="5">
        <v>1</v>
      </c>
      <c r="K16" s="9">
        <f>I16*J16</f>
        <v/>
      </c>
      <c r="M16" s="5" t="inlineStr">
        <is>
          <t xml:space="preserve">Bakır PE barası 20×5 mm × 1 m (ön seçim)</t>
        </is>
      </c>
      <c r="N16" s="6" t="inlineStr">
        <is>
          <t xml:space="preserve">Ürün sayfası</t>
        </is>
      </c>
      <c r="O16" s="8">
        <v>1800</v>
      </c>
      <c r="P16" s="5">
        <v>1</v>
      </c>
      <c r="Q16" s="9">
        <f>O16*P16</f>
        <v/>
      </c>
      <c r="S16" s="5" t="inlineStr">
        <is>
          <t xml:space="preserve">Bakır PE barası 20×5 mm × 1 m (ön seçim)</t>
        </is>
      </c>
      <c r="T16" s="6" t="inlineStr">
        <is>
          <t xml:space="preserve">Ürün sayfası</t>
        </is>
      </c>
      <c r="U16" s="8">
        <v>1800</v>
      </c>
      <c r="V16" s="5">
        <v>1</v>
      </c>
      <c r="W16" s="9">
        <f>U16*V16</f>
        <v/>
      </c>
    </row>
    <row r="17">
      <c r="A17" s="10" t="inlineStr">
        <is>
          <t xml:space="preserve">Pano toplamı</t>
        </is>
      </c>
      <c r="E17" s="11">
        <f>IF(COUNT(E7:E16)&lt;COUNTA(A7:A16),"TEKLİF GEREKLİ",SUM(E7:E16))</f>
        <v/>
      </c>
      <c r="G17" s="10" t="inlineStr">
        <is>
          <t xml:space="preserve">Pano toplamı</t>
        </is>
      </c>
      <c r="K17" s="11">
        <f>IF(COUNT(K7:K16)&lt;COUNTA(G7:G16),"TEKLİF GEREKLİ",SUM(K7:K16))</f>
        <v/>
      </c>
      <c r="M17" s="10" t="inlineStr">
        <is>
          <t xml:space="preserve">Pano toplamı</t>
        </is>
      </c>
      <c r="Q17" s="11">
        <f>IF(COUNT(Q7:Q16)&lt;COUNTA(M7:M16),"TEKLİF GEREKLİ",SUM(Q7:Q16))</f>
        <v/>
      </c>
      <c r="S17" s="10" t="inlineStr">
        <is>
          <t xml:space="preserve">Pano toplamı</t>
        </is>
      </c>
      <c r="W17" s="11">
        <f>IF(COUNT(W7:W16)&lt;COUNTA(S7:S16),"TEKLİF GEREKLİ",SUM(W7:W16))</f>
        <v/>
      </c>
    </row>
    <row r="18"/>
    <row r="19"/>
    <row r="20"/>
    <row r="21"/>
    <row r="22">
      <c r="A22" s="3" t="inlineStr">
        <is>
          <t xml:space="preserve">PANO 2 — 5,5 kW POMPA (9 MOTOR) | Zaman röleli</t>
        </is>
      </c>
      <c r="G22" s="3" t="inlineStr">
        <is>
          <t xml:space="preserve">PANO 2 — 5,5 kW POMPA (9 MOTOR) | Zaman rölesiz</t>
        </is>
      </c>
    </row>
    <row r="23">
      <c r="A23" s="4" t="inlineStr">
        <is>
          <t xml:space="preserve">Ürün</t>
        </is>
      </c>
      <c r="B23" s="4" t="inlineStr">
        <is>
          <t xml:space="preserve">Link</t>
        </is>
      </c>
      <c r="C23" s="4" t="inlineStr">
        <is>
          <t xml:space="preserve">Birim Maliyet (TL)</t>
        </is>
      </c>
      <c r="D23" s="4" t="inlineStr">
        <is>
          <t xml:space="preserve">Adet</t>
        </is>
      </c>
      <c r="E23" s="4" t="inlineStr">
        <is>
          <t xml:space="preserve">Toplam Maliyet (TL)</t>
        </is>
      </c>
      <c r="G23" s="4" t="inlineStr">
        <is>
          <t xml:space="preserve">Ürün</t>
        </is>
      </c>
      <c r="H23" s="4" t="inlineStr">
        <is>
          <t xml:space="preserve">Link</t>
        </is>
      </c>
      <c r="I23" s="4" t="inlineStr">
        <is>
          <t xml:space="preserve">Birim Maliyet (TL)</t>
        </is>
      </c>
      <c r="J23" s="4" t="inlineStr">
        <is>
          <t xml:space="preserve">Adet</t>
        </is>
      </c>
      <c r="K23" s="4" t="inlineStr">
        <is>
          <t xml:space="preserve">Toplam Maliyet (TL)</t>
        </is>
      </c>
    </row>
    <row r="24">
      <c r="A24" s="5" t="inlineStr">
        <is>
          <t xml:space="preserve">ABB Formula 1SDA066782R1 kompakt şalter, 160 A</t>
        </is>
      </c>
      <c r="B24" s="6" t="inlineStr">
        <is>
          <t xml:space="preserve">Ürün sayfası</t>
        </is>
      </c>
      <c r="C24" s="8">
        <v>4530.79</v>
      </c>
      <c r="D24" s="5">
        <v>1</v>
      </c>
      <c r="E24" s="9">
        <f>C24*D24</f>
        <v/>
      </c>
      <c r="G24" s="5" t="inlineStr">
        <is>
          <t xml:space="preserve">ABB Formula 1SDA066782R1 kompakt şalter, 160 A</t>
        </is>
      </c>
      <c r="H24" s="6" t="inlineStr">
        <is>
          <t xml:space="preserve">Ürün sayfası</t>
        </is>
      </c>
      <c r="I24" s="8">
        <v>4530.79</v>
      </c>
      <c r="J24" s="5">
        <v>1</v>
      </c>
      <c r="K24" s="9">
        <f>I24*J24</f>
        <v/>
      </c>
    </row>
    <row r="25">
      <c r="A25" s="5" t="inlineStr">
        <is>
          <t xml:space="preserve">Siemens SIRIUS 3RV2011-1KA10, 9–12,5 A motor koruma şalteri (vidalı bağlantı, DIN rayı)</t>
        </is>
      </c>
      <c r="B25" s="6" t="inlineStr">
        <is>
          <t xml:space="preserve">Ürün sayfası</t>
        </is>
      </c>
      <c r="C25" s="8" t="inlineStr">
        <is>
          <t xml:space="preserve">Teklif gerekli</t>
        </is>
      </c>
      <c r="D25" s="5">
        <v>9</v>
      </c>
      <c r="E25" s="9">
        <f>IF(ISNUMBER(C25),C25*D25,"Teklif gerekli")</f>
        <v/>
      </c>
      <c r="G25" s="5" t="inlineStr">
        <is>
          <t xml:space="preserve">Siemens SIRIUS 3RV2011-1KA10, 9–12,5 A motor koruma şalteri (vidalı bağlantı, DIN rayı)</t>
        </is>
      </c>
      <c r="H25" s="6" t="inlineStr">
        <is>
          <t xml:space="preserve">Ürün sayfası</t>
        </is>
      </c>
      <c r="I25" s="8" t="inlineStr">
        <is>
          <t xml:space="preserve">Teklif gerekli</t>
        </is>
      </c>
      <c r="J25" s="5">
        <v>9</v>
      </c>
      <c r="K25" s="9">
        <f>IF(ISNUMBER(I25),I25*J25,"Teklif gerekli")</f>
        <v/>
      </c>
    </row>
    <row r="26">
      <c r="A26" s="5" t="inlineStr">
        <is>
          <t xml:space="preserve">Siemens 3RT2017-1BB41, 12 A / 5,5 kW, 24 V DC kontaktör</t>
        </is>
      </c>
      <c r="B26" s="6" t="inlineStr">
        <is>
          <t xml:space="preserve">Ürün sayfası</t>
        </is>
      </c>
      <c r="C26" s="8">
        <v>1137.0</v>
      </c>
      <c r="D26" s="5">
        <v>27</v>
      </c>
      <c r="E26" s="9">
        <f>C26*D26</f>
        <v/>
      </c>
      <c r="G26" s="5" t="inlineStr">
        <is>
          <t xml:space="preserve">Siemens 3RT2017-1BB41, 12 A / 5,5 kW, 24 V DC kontaktör</t>
        </is>
      </c>
      <c r="H26" s="6" t="inlineStr">
        <is>
          <t xml:space="preserve">Ürün sayfası</t>
        </is>
      </c>
      <c r="I26" s="8">
        <v>1137.0</v>
      </c>
      <c r="J26" s="5">
        <v>27</v>
      </c>
      <c r="K26" s="9">
        <f>I26*J26</f>
        <v/>
      </c>
    </row>
    <row r="27"/>
    <row r="28">
      <c r="A28" s="5" t="inlineStr">
        <is>
          <t xml:space="preserve">ENDA ATSP4 analog zaman rölesi (yıldız-üçgen geçişi)</t>
        </is>
      </c>
      <c r="B28" s="6" t="inlineStr">
        <is>
          <t xml:space="preserve">Ürün sayfası</t>
        </is>
      </c>
      <c r="C28" s="8">
        <v>1039.5</v>
      </c>
      <c r="D28" s="5">
        <v>9</v>
      </c>
      <c r="E28" s="9">
        <f>C28*D28</f>
        <v/>
      </c>
      <c r="G28" s="5" t="inlineStr">
        <is>
          <t xml:space="preserve">Omron S8VK-C24024, 24 V DC / 10 A güç kaynağı</t>
        </is>
      </c>
      <c r="H28" s="6" t="inlineStr">
        <is>
          <t xml:space="preserve">Ürün sayfası</t>
        </is>
      </c>
      <c r="I28" s="8">
        <v>2062.84</v>
      </c>
      <c r="J28" s="5">
        <v>1</v>
      </c>
      <c r="K28" s="9">
        <f>I28*J28</f>
        <v/>
      </c>
    </row>
    <row r="29">
      <c r="A29" s="5" t="inlineStr">
        <is>
          <t xml:space="preserve">Omron S8VK-C24024, 24 V DC / 10 A güç kaynağı</t>
        </is>
      </c>
      <c r="B29" s="6" t="inlineStr">
        <is>
          <t xml:space="preserve">Ürün sayfası</t>
        </is>
      </c>
      <c r="C29" s="8">
        <v>2062.84</v>
      </c>
      <c r="D29" s="5">
        <v>1</v>
      </c>
      <c r="E29" s="9">
        <f>C29*D29</f>
        <v/>
      </c>
      <c r="G29" s="5" t="inlineStr">
        <is>
          <t xml:space="preserve">Waveshare ESP32-S3-POE-ETH-8DI-8DO</t>
        </is>
      </c>
      <c r="H29" s="6" t="inlineStr">
        <is>
          <t xml:space="preserve">Ürün sayfası</t>
        </is>
      </c>
      <c r="I29" s="8">
        <v>4000</v>
      </c>
      <c r="J29" s="5">
        <v>1</v>
      </c>
      <c r="K29" s="9">
        <f>I29*J29</f>
        <v/>
      </c>
    </row>
    <row r="30">
      <c r="A30" s="5" t="inlineStr">
        <is>
          <t xml:space="preserve">Waveshare ESP32-S3-POE-ETH-8DI-8DO</t>
        </is>
      </c>
      <c r="B30" s="6" t="inlineStr">
        <is>
          <t xml:space="preserve">Ürün sayfası</t>
        </is>
      </c>
      <c r="C30" s="8">
        <v>4000</v>
      </c>
      <c r="D30" s="5">
        <v>1</v>
      </c>
      <c r="E30" s="9">
        <f>C30*D30</f>
        <v/>
      </c>
      <c r="G30" s="5" t="inlineStr">
        <is>
          <t xml:space="preserve">Waveshare 16 kanallı Modbus Ethernet röle kartı</t>
        </is>
      </c>
      <c r="H30" s="6" t="inlineStr">
        <is>
          <t xml:space="preserve">Ürün sayfası</t>
        </is>
      </c>
      <c r="I30" s="8">
        <v>6400</v>
      </c>
      <c r="J30" s="5">
        <v>2</v>
      </c>
      <c r="K30" s="9">
        <f>I30*J30</f>
        <v/>
      </c>
    </row>
    <row r="31">
      <c r="A31" s="5" t="inlineStr">
        <is>
          <t xml:space="preserve">Waveshare 16 kanallı Modbus Ethernet röle kartı</t>
        </is>
      </c>
      <c r="B31" s="6" t="inlineStr">
        <is>
          <t xml:space="preserve">Ürün sayfası</t>
        </is>
      </c>
      <c r="C31" s="8">
        <v>6400</v>
      </c>
      <c r="D31" s="5">
        <v>2</v>
      </c>
      <c r="E31" s="9">
        <f>C31*D31</f>
        <v/>
      </c>
    </row>
    <row r="32">
      <c r="A32" s="5" t="inlineStr">
        <is>
          <t xml:space="preserve">Bakır güç barası 20×5 mm × 1 m (3 faz; ön seçim)</t>
        </is>
      </c>
      <c r="B32" s="6" t="inlineStr">
        <is>
          <t xml:space="preserve">Ürün sayfası</t>
        </is>
      </c>
      <c r="C32" s="8">
        <v>1800</v>
      </c>
      <c r="D32" s="5">
        <v>3</v>
      </c>
      <c r="E32" s="9">
        <f>C32*D32</f>
        <v/>
      </c>
      <c r="G32" s="5" t="inlineStr">
        <is>
          <t xml:space="preserve">Bakır güç barası 20×5 mm × 1 m (3 faz; ön seçim)</t>
        </is>
      </c>
      <c r="H32" s="6" t="inlineStr">
        <is>
          <t xml:space="preserve">Ürün sayfası</t>
        </is>
      </c>
      <c r="I32" s="8">
        <v>1800</v>
      </c>
      <c r="J32" s="5">
        <v>3</v>
      </c>
      <c r="K32" s="9">
        <f>I32*J32</f>
        <v/>
      </c>
    </row>
    <row r="33">
      <c r="A33" s="5" t="inlineStr">
        <is>
          <t xml:space="preserve">Bakır PE barası 20×5 mm × 1 m (ön seçim)</t>
        </is>
      </c>
      <c r="B33" s="6" t="inlineStr">
        <is>
          <t xml:space="preserve">Ürün sayfası</t>
        </is>
      </c>
      <c r="C33" s="8">
        <v>1800</v>
      </c>
      <c r="D33" s="5">
        <v>1</v>
      </c>
      <c r="E33" s="9">
        <f>C33*D33</f>
        <v/>
      </c>
      <c r="G33" s="5" t="inlineStr">
        <is>
          <t xml:space="preserve">Bakır PE barası 20×5 mm × 1 m (ön seçim)</t>
        </is>
      </c>
      <c r="H33" s="6" t="inlineStr">
        <is>
          <t xml:space="preserve">Ürün sayfası</t>
        </is>
      </c>
      <c r="I33" s="8">
        <v>1800</v>
      </c>
      <c r="J33" s="5">
        <v>1</v>
      </c>
      <c r="K33" s="9">
        <f>I33*J33</f>
        <v/>
      </c>
    </row>
    <row r="34">
      <c r="A34" s="10" t="inlineStr">
        <is>
          <t xml:space="preserve">Pano toplamı</t>
        </is>
      </c>
      <c r="E34" s="11">
        <f>IF(COUNT(E24:E33)&lt;COUNTA(A24:A33),"TEKLİF GEREKLİ",SUM(E24:E33))</f>
        <v/>
      </c>
      <c r="G34" s="10" t="inlineStr">
        <is>
          <t xml:space="preserve">Pano toplamı</t>
        </is>
      </c>
      <c r="K34" s="11">
        <f>IF(COUNT(K24:K33)&lt;COUNTA(G24:G33),"TEKLİF GEREKLİ",SUM(K24:K33))</f>
        <v/>
      </c>
    </row>
    <row r="35"/>
    <row r="36"/>
    <row r="37"/>
    <row r="38"/>
    <row r="39">
      <c r="A39" s="3" t="inlineStr">
        <is>
          <t xml:space="preserve">PANO 3 — 5,5 kW FAN (10 MOTOR) | Zaman röleli</t>
        </is>
      </c>
      <c r="G39" s="3" t="inlineStr">
        <is>
          <t xml:space="preserve">PANO 3 — 5,5 kW FAN (10 MOTOR) | Zaman rölesiz</t>
        </is>
      </c>
    </row>
    <row r="40">
      <c r="A40" s="4" t="inlineStr">
        <is>
          <t xml:space="preserve">Ürün</t>
        </is>
      </c>
      <c r="B40" s="4" t="inlineStr">
        <is>
          <t xml:space="preserve">Link</t>
        </is>
      </c>
      <c r="C40" s="4" t="inlineStr">
        <is>
          <t xml:space="preserve">Birim Maliyet (TL)</t>
        </is>
      </c>
      <c r="D40" s="4" t="inlineStr">
        <is>
          <t xml:space="preserve">Adet</t>
        </is>
      </c>
      <c r="E40" s="4" t="inlineStr">
        <is>
          <t xml:space="preserve">Toplam Maliyet (TL)</t>
        </is>
      </c>
      <c r="G40" s="4" t="inlineStr">
        <is>
          <t xml:space="preserve">Ürün</t>
        </is>
      </c>
      <c r="H40" s="4" t="inlineStr">
        <is>
          <t xml:space="preserve">Link</t>
        </is>
      </c>
      <c r="I40" s="4" t="inlineStr">
        <is>
          <t xml:space="preserve">Birim Maliyet (TL)</t>
        </is>
      </c>
      <c r="J40" s="4" t="inlineStr">
        <is>
          <t xml:space="preserve">Adet</t>
        </is>
      </c>
      <c r="K40" s="4" t="inlineStr">
        <is>
          <t xml:space="preserve">Toplam Maliyet (TL)</t>
        </is>
      </c>
    </row>
    <row r="41">
      <c r="A41" s="5" t="inlineStr">
        <is>
          <t xml:space="preserve">ABB Formula 1SDA066782R1 kompakt şalter, 160 A</t>
        </is>
      </c>
      <c r="B41" s="6" t="inlineStr">
        <is>
          <t xml:space="preserve">Ürün sayfası</t>
        </is>
      </c>
      <c r="C41" s="8">
        <v>4530.79</v>
      </c>
      <c r="D41" s="5">
        <v>1</v>
      </c>
      <c r="E41" s="9">
        <f>C41*D41</f>
        <v/>
      </c>
      <c r="G41" s="5" t="inlineStr">
        <is>
          <t xml:space="preserve">ABB Formula 1SDA066782R1 kompakt şalter, 160 A</t>
        </is>
      </c>
      <c r="H41" s="6" t="inlineStr">
        <is>
          <t xml:space="preserve">Ürün sayfası</t>
        </is>
      </c>
      <c r="I41" s="8">
        <v>4530.79</v>
      </c>
      <c r="J41" s="5">
        <v>1</v>
      </c>
      <c r="K41" s="9">
        <f>I41*J41</f>
        <v/>
      </c>
    </row>
    <row r="42">
      <c r="A42" s="5" t="inlineStr">
        <is>
          <t xml:space="preserve">Siemens SIRIUS 3RV2011-1KA10, 9–12,5 A motor koruma şalteri (vidalı bağlantı, DIN rayı)</t>
        </is>
      </c>
      <c r="B42" s="6" t="inlineStr">
        <is>
          <t xml:space="preserve">Ürün sayfası</t>
        </is>
      </c>
      <c r="C42" s="8" t="inlineStr">
        <is>
          <t xml:space="preserve">Teklif gerekli</t>
        </is>
      </c>
      <c r="D42" s="5">
        <v>10</v>
      </c>
      <c r="E42" s="9">
        <f>IF(ISNUMBER(C42),C42*D42,"Teklif gerekli")</f>
        <v/>
      </c>
      <c r="G42" s="5" t="inlineStr">
        <is>
          <t xml:space="preserve">Siemens SIRIUS 3RV2011-1KA10, 9–12,5 A motor koruma şalteri (vidalı bağlantı, DIN rayı)</t>
        </is>
      </c>
      <c r="H42" s="6" t="inlineStr">
        <is>
          <t xml:space="preserve">Ürün sayfası</t>
        </is>
      </c>
      <c r="I42" s="8" t="inlineStr">
        <is>
          <t xml:space="preserve">Teklif gerekli</t>
        </is>
      </c>
      <c r="J42" s="5">
        <v>10</v>
      </c>
      <c r="K42" s="9">
        <f>IF(ISNUMBER(I42),I42*J42,"Teklif gerekli")</f>
        <v/>
      </c>
    </row>
    <row r="43">
      <c r="A43" s="5" t="inlineStr">
        <is>
          <t xml:space="preserve">Siemens 3RT2017-1BB41, 12 A / 5,5 kW, 24 V DC kontaktör</t>
        </is>
      </c>
      <c r="B43" s="6" t="inlineStr">
        <is>
          <t xml:space="preserve">Ürün sayfası</t>
        </is>
      </c>
      <c r="C43" s="8">
        <v>1137.0</v>
      </c>
      <c r="D43" s="5">
        <v>30</v>
      </c>
      <c r="E43" s="9">
        <f>C43*D43</f>
        <v/>
      </c>
      <c r="G43" s="5" t="inlineStr">
        <is>
          <t xml:space="preserve">Siemens 3RT2017-1BB41, 12 A / 5,5 kW, 24 V DC kontaktör</t>
        </is>
      </c>
      <c r="H43" s="6" t="inlineStr">
        <is>
          <t xml:space="preserve">Ürün sayfası</t>
        </is>
      </c>
      <c r="I43" s="8">
        <v>1137.0</v>
      </c>
      <c r="J43" s="5">
        <v>30</v>
      </c>
      <c r="K43" s="9">
        <f>I43*J43</f>
        <v/>
      </c>
    </row>
    <row r="44"/>
    <row r="45">
      <c r="A45" s="5" t="inlineStr">
        <is>
          <t xml:space="preserve">ENDA ATSP4 analog zaman rölesi (yıldız-üçgen geçişi)</t>
        </is>
      </c>
      <c r="B45" s="6" t="inlineStr">
        <is>
          <t xml:space="preserve">Ürün sayfası</t>
        </is>
      </c>
      <c r="C45" s="8">
        <v>1039.5</v>
      </c>
      <c r="D45" s="5">
        <v>10</v>
      </c>
      <c r="E45" s="9">
        <f>C45*D45</f>
        <v/>
      </c>
      <c r="G45" s="5" t="inlineStr">
        <is>
          <t xml:space="preserve">Omron S8VK-C24024, 24 V DC / 10 A güç kaynağı</t>
        </is>
      </c>
      <c r="H45" s="6" t="inlineStr">
        <is>
          <t xml:space="preserve">Ürün sayfası</t>
        </is>
      </c>
      <c r="I45" s="8">
        <v>2062.84</v>
      </c>
      <c r="J45" s="5">
        <v>1</v>
      </c>
      <c r="K45" s="9">
        <f>I45*J45</f>
        <v/>
      </c>
    </row>
    <row r="46">
      <c r="A46" s="5" t="inlineStr">
        <is>
          <t xml:space="preserve">Omron S8VK-C24024, 24 V DC / 10 A güç kaynağı</t>
        </is>
      </c>
      <c r="B46" s="6" t="inlineStr">
        <is>
          <t xml:space="preserve">Ürün sayfası</t>
        </is>
      </c>
      <c r="C46" s="8">
        <v>2062.84</v>
      </c>
      <c r="D46" s="5">
        <v>1</v>
      </c>
      <c r="E46" s="9">
        <f>C46*D46</f>
        <v/>
      </c>
      <c r="G46" s="5" t="inlineStr">
        <is>
          <t xml:space="preserve">Waveshare ESP32-S3-POE-ETH-8DI-8DO</t>
        </is>
      </c>
      <c r="H46" s="6" t="inlineStr">
        <is>
          <t xml:space="preserve">Ürün sayfası</t>
        </is>
      </c>
      <c r="I46" s="8">
        <v>4000</v>
      </c>
      <c r="J46" s="5">
        <v>1</v>
      </c>
      <c r="K46" s="9">
        <f>I46*J46</f>
        <v/>
      </c>
    </row>
    <row r="47">
      <c r="A47" s="5" t="inlineStr">
        <is>
          <t xml:space="preserve">Waveshare ESP32-S3-POE-ETH-8DI-8DO</t>
        </is>
      </c>
      <c r="B47" s="6" t="inlineStr">
        <is>
          <t xml:space="preserve">Ürün sayfası</t>
        </is>
      </c>
      <c r="C47" s="8">
        <v>4000</v>
      </c>
      <c r="D47" s="5">
        <v>1</v>
      </c>
      <c r="E47" s="9">
        <f>C47*D47</f>
        <v/>
      </c>
      <c r="G47" s="5" t="inlineStr">
        <is>
          <t xml:space="preserve">Waveshare 16 kanallı Modbus Ethernet röle kartı</t>
        </is>
      </c>
      <c r="H47" s="6" t="inlineStr">
        <is>
          <t xml:space="preserve">Ürün sayfası</t>
        </is>
      </c>
      <c r="I47" s="8">
        <v>6400</v>
      </c>
      <c r="J47" s="5">
        <v>2</v>
      </c>
      <c r="K47" s="9">
        <f>I47*J47</f>
        <v/>
      </c>
    </row>
    <row r="48">
      <c r="A48" s="5" t="inlineStr">
        <is>
          <t xml:space="preserve">Waveshare 16 kanallı Modbus Ethernet röle kartı</t>
        </is>
      </c>
      <c r="B48" s="6" t="inlineStr">
        <is>
          <t xml:space="preserve">Ürün sayfası</t>
        </is>
      </c>
      <c r="C48" s="8">
        <v>6400</v>
      </c>
      <c r="D48" s="5">
        <v>2</v>
      </c>
      <c r="E48" s="9">
        <f>C48*D48</f>
        <v/>
      </c>
    </row>
    <row r="49">
      <c r="A49" s="5" t="inlineStr">
        <is>
          <t xml:space="preserve">Bakır güç barası 20×5 mm × 1 m (3 faz; ön seçim)</t>
        </is>
      </c>
      <c r="B49" s="6" t="inlineStr">
        <is>
          <t xml:space="preserve">Ürün sayfası</t>
        </is>
      </c>
      <c r="C49" s="8">
        <v>1800</v>
      </c>
      <c r="D49" s="5">
        <v>3</v>
      </c>
      <c r="E49" s="9">
        <f>C49*D49</f>
        <v/>
      </c>
      <c r="G49" s="5" t="inlineStr">
        <is>
          <t xml:space="preserve">Bakır güç barası 20×5 mm × 1 m (3 faz; ön seçim)</t>
        </is>
      </c>
      <c r="H49" s="6" t="inlineStr">
        <is>
          <t xml:space="preserve">Ürün sayfası</t>
        </is>
      </c>
      <c r="I49" s="8">
        <v>1800</v>
      </c>
      <c r="J49" s="5">
        <v>3</v>
      </c>
      <c r="K49" s="9">
        <f>I49*J49</f>
        <v/>
      </c>
    </row>
    <row r="50">
      <c r="A50" s="5" t="inlineStr">
        <is>
          <t xml:space="preserve">Bakır PE barası 20×5 mm × 1 m (ön seçim)</t>
        </is>
      </c>
      <c r="B50" s="6" t="inlineStr">
        <is>
          <t xml:space="preserve">Ürün sayfası</t>
        </is>
      </c>
      <c r="C50" s="8">
        <v>1800</v>
      </c>
      <c r="D50" s="5">
        <v>1</v>
      </c>
      <c r="E50" s="9">
        <f>C50*D50</f>
        <v/>
      </c>
      <c r="G50" s="5" t="inlineStr">
        <is>
          <t xml:space="preserve">Bakır PE barası 20×5 mm × 1 m (ön seçim)</t>
        </is>
      </c>
      <c r="H50" s="6" t="inlineStr">
        <is>
          <t xml:space="preserve">Ürün sayfası</t>
        </is>
      </c>
      <c r="I50" s="8">
        <v>1800</v>
      </c>
      <c r="J50" s="5">
        <v>1</v>
      </c>
      <c r="K50" s="9">
        <f>I50*J50</f>
        <v/>
      </c>
    </row>
    <row r="51">
      <c r="A51" s="10" t="inlineStr">
        <is>
          <t xml:space="preserve">Pano toplamı</t>
        </is>
      </c>
      <c r="E51" s="11">
        <f>IF(COUNT(E41:E50)&lt;COUNTA(A41:A50),"TEKLİF GEREKLİ",SUM(E41:E50))</f>
        <v/>
      </c>
      <c r="G51" s="10" t="inlineStr">
        <is>
          <t xml:space="preserve">Pano toplamı</t>
        </is>
      </c>
      <c r="K51" s="11">
        <f>IF(COUNT(K41:K50)&lt;COUNTA(G41:G50),"TEKLİF GEREKLİ",SUM(K41:K50))</f>
        <v/>
      </c>
    </row>
  </sheetData>
  <mergeCells count="10">
    <mergeCell ref="A1:W1"/>
    <mergeCell ref="A2:W2"/>
    <mergeCell ref="A5:E5"/>
    <mergeCell ref="G5:K5"/>
    <mergeCell ref="M5:Q5"/>
    <mergeCell ref="S5:W5"/>
    <mergeCell ref="A22:E22"/>
    <mergeCell ref="G22:K22"/>
    <mergeCell ref="A39:E39"/>
    <mergeCell ref="G39:K39"/>
  </mergeCells>
  <hyperlinks>
    <hyperlink ref="B7" r:id="rId1"/>
    <hyperlink ref="B8" r:id="rId2"/>
    <hyperlink ref="B9" r:id="rId3"/>
    <hyperlink ref="B10" r:id="rId4"/>
    <hyperlink ref="B11" r:id="rId5"/>
    <hyperlink ref="B12" r:id="rId6"/>
    <hyperlink ref="B13" r:id="rId7"/>
    <hyperlink ref="H7" r:id="rId8"/>
    <hyperlink ref="H8" r:id="rId9"/>
    <hyperlink ref="H9" r:id="rId10"/>
    <hyperlink ref="H10" r:id="rId11"/>
    <hyperlink ref="H11" r:id="rId12"/>
    <hyperlink ref="H12" r:id="rId13"/>
    <hyperlink ref="N7" r:id="rId14"/>
    <hyperlink ref="N8" r:id="rId15"/>
    <hyperlink ref="N9" r:id="rId16"/>
    <hyperlink ref="N11" r:id="rId18"/>
    <hyperlink ref="N12" r:id="rId19"/>
    <hyperlink ref="N13" r:id="rId20"/>
    <hyperlink ref="N14" r:id="rId21"/>
    <hyperlink ref="T7" r:id="rId22"/>
    <hyperlink ref="T8" r:id="rId23"/>
    <hyperlink ref="T9" r:id="rId24"/>
    <hyperlink ref="T11" r:id="rId26"/>
    <hyperlink ref="T12" r:id="rId27"/>
    <hyperlink ref="T13" r:id="rId28"/>
    <hyperlink ref="B24" r:id="rId29"/>
    <hyperlink ref="B25" r:id="rId30"/>
    <hyperlink ref="B26" r:id="rId31"/>
    <hyperlink ref="B28" r:id="rId33"/>
    <hyperlink ref="B29" r:id="rId34"/>
    <hyperlink ref="B30" r:id="rId35"/>
    <hyperlink ref="B31" r:id="rId36"/>
    <hyperlink ref="H24" r:id="rId37"/>
    <hyperlink ref="H25" r:id="rId38"/>
    <hyperlink ref="H26" r:id="rId39"/>
    <hyperlink ref="H28" r:id="rId41"/>
    <hyperlink ref="H29" r:id="rId42"/>
    <hyperlink ref="H30" r:id="rId43"/>
    <hyperlink ref="B41" r:id="rId44"/>
    <hyperlink ref="B42" r:id="rId45"/>
    <hyperlink ref="B43" r:id="rId46"/>
    <hyperlink ref="B45" r:id="rId48"/>
    <hyperlink ref="B46" r:id="rId49"/>
    <hyperlink ref="B47" r:id="rId50"/>
    <hyperlink ref="B48" r:id="rId51"/>
    <hyperlink ref="H41" r:id="rId52"/>
    <hyperlink ref="H42" r:id="rId53"/>
    <hyperlink ref="H43" r:id="rId54"/>
    <hyperlink ref="H45" r:id="rId56"/>
    <hyperlink ref="H46" r:id="rId57"/>
    <hyperlink ref="H47" r:id="rId58"/>
    <hyperlink ref="B15" r:id="rId59"/>
    <hyperlink ref="B16" r:id="rId60"/>
    <hyperlink ref="H15" r:id="rId61"/>
    <hyperlink ref="H16" r:id="rId62"/>
    <hyperlink ref="N15" r:id="rId63"/>
    <hyperlink ref="N16" r:id="rId64"/>
    <hyperlink ref="T15" r:id="rId65"/>
    <hyperlink ref="T16" r:id="rId66"/>
    <hyperlink ref="B32" r:id="rId67"/>
    <hyperlink ref="B33" r:id="rId68"/>
    <hyperlink ref="H32" r:id="rId69"/>
    <hyperlink ref="H33" r:id="rId70"/>
    <hyperlink ref="B49" r:id="rId71"/>
    <hyperlink ref="B50" r:id="rId72"/>
    <hyperlink ref="H49" r:id="rId73"/>
    <hyperlink ref="H50" r:id="rId74"/>
  </hyperlink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8" customWidth="1"/>
    <col min="2" max="2" width="23" customWidth="1"/>
    <col min="3" max="3" width="31" customWidth="1"/>
    <col min="4" max="4" width="88" customWidth="1"/>
  </cols>
  <sheetData>
    <row r="1">
      <c r="A1" s="1" t="inlineStr">
        <is>
          <t xml:space="preserve">VARSAYIMLAR, SINIRLAR VE FİYAT KAYNAKLARI</t>
        </is>
      </c>
    </row>
    <row r="3">
      <c r="A3" s="3" t="inlineStr">
        <is>
          <t xml:space="preserve">Çalışma tarihi</t>
        </is>
      </c>
      <c r="B3" s="12" t="inlineStr">
        <is>
          <t xml:space="preserve">08.10.2026; arama sonuçlarında görülen çevrimiçi liste fiyatları kullanılmıştır.</t>
        </is>
      </c>
    </row>
    <row r="4">
      <c r="A4" s="3" t="inlineStr">
        <is>
          <t xml:space="preserve">Adet varsayımları</t>
        </is>
      </c>
      <c r="B4" s="12" t="inlineStr">
        <is>
          <t xml:space="preserve">Pano 1: 14 + 6 = 20 adet 18,5 kW pompa. Pano 2: 4 + 5 = 9 adet 5,5 kW pompa. Pano 3: 7 + 3 = 10 adet 5,5 kW fan.</t>
        </is>
      </c>
    </row>
    <row r="5">
      <c r="A5" s="3" t="inlineStr">
        <is>
          <t xml:space="preserve">Motor koruması</t>
        </is>
      </c>
      <c r="B5" s="12" t="inlineStr">
        <is>
          <t xml:space="preserve">Motor başına tek Siemens 3RV2 motor koruma şalteri kullanılır; ayrı termik röle satırları kaldırılmıştır. Sürücüsüz Y/Δ devrelerinde motor akım ayarı ve koordinasyon mühendislik hesabıyla doğrulanmalıdır.</t>
        </is>
      </c>
    </row>
    <row r="6">
      <c r="A6" s="3" t="inlineStr">
        <is>
          <t xml:space="preserve">VFD + zaman rölesi</t>
        </is>
      </c>
      <c r="B6" s="12" t="inlineStr">
        <is>
          <t xml:space="preserve">Bu tabloda zaman rölesi yıldız-üçgen için değil, VFD motorlarının kademeli devreye alınması için ek bütçe kalemidir; sürücünün dahili hızlanma rampası vardır.</t>
        </is>
      </c>
    </row>
    <row r="7">
      <c r="A7" s="3" t="inlineStr">
        <is>
          <t xml:space="preserve">Zaman rölesi</t>
        </is>
      </c>
      <c r="B7" s="12" t="inlineStr">
        <is>
          <t xml:space="preserve">ENDA ATSP4 bağlantısı genel amaçlı analog zaman rölesi ürün sayfasıdır. Yıldız-üçgen işlev/çıkış kontak düzeni ve bobin gerilimi proje öncesi üretici dokümanından doğrulanmalıdır.</t>
        </is>
      </c>
    </row>
    <row r="8">
      <c r="A8" s="3" t="inlineStr">
        <is>
          <t xml:space="preserve">Kontrol/IO</t>
        </is>
      </c>
      <c r="B8" s="12" t="inlineStr">
        <is>
          <t xml:space="preserve">Waveshare 8DI/8DO kartı kullanıcı varsayımıyla mevcut kabul edilmiş ve maliyeti 0 TL yazılmıştır. 16 kanallı Modbus röle kartları 16 çıkış/motor kontaktör bobinleri varsayımıyla sayılmıştır.</t>
        </is>
      </c>
    </row>
    <row r="9">
      <c r="A9" s="3" t="inlineStr">
        <is>
          <t xml:space="preserve">Eksik kontrol kalemi</t>
        </is>
      </c>
      <c r="B9" s="12" t="inlineStr">
        <is>
          <t xml:space="preserve">Gerekli dijital giriş sayısı 8DI kapasitesini aşar; dijital giriş genişletmesi, haberleşme konfigürasyonu ve güvenli fail-safe tasarım maliyeti bu dosyada fiyatlandırılmamıştır.</t>
        </is>
      </c>
    </row>
    <row r="10">
      <c r="A10" s="3" t="inlineStr">
        <is>
          <t xml:space="preserve">Yıldız-üçgen emniyeti</t>
        </is>
      </c>
      <c r="B10" s="12" t="inlineStr">
        <is>
          <t xml:space="preserve">ESP32 zamanlaması tek başına emniyet değildir; yıldız/üçgen kontaktörlerinde mekanik kilitleme ve karşılıklı NC elektriksel kilitleme ile donanımsal acil-stop ve uygun motor koruma şalteri zinciri gerekir.</t>
        </is>
      </c>
    </row>
    <row r="11">
      <c r="A11" s="3" t="inlineStr">
        <is>
          <t xml:space="preserve">Kapsam dışı</t>
        </is>
      </c>
      <c r="B11" s="12" t="inlineStr">
        <is>
          <t xml:space="preserve">Pano kabini, bara, kablolama, klemens, fan/filtre, SPD, ana kumanda/koruma aksesuarları, saha mühendisliği, montaj, devreye alma, nakliye ve işçilik toplamda yoktur. Liste tam satın alma BOM’u/uygulama projesi değildir.</t>
        </is>
      </c>
    </row>
    <row r="12">
      <c r="A12" s="3" t="inlineStr">
        <is>
          <t xml:space="preserve">Teknik onay</t>
        </is>
      </c>
      <c r="B12" s="12" t="inlineStr">
        <is>
          <t xml:space="preserve">Motor etiket akımı, kısa devre seviyesi, koordinasyon, Siemens motor koruma şalteri ayar aralığı, sürücü giriş koruması, ana şalter seçimi ve pano ısıl hesabı yetkili elektrik mühendisi tarafından doğrulanmalıdır.</t>
        </is>
      </c>
    </row>
    <row r="13">
      <c r="A13" s="3" t="inlineStr">
        <is>
          <t xml:space="preserve">Fiyat/KDV</t>
        </is>
      </c>
      <c r="B13" s="12" t="inlineStr">
        <is>
          <t xml:space="preserve">Birim maliyetler TRY cinsindedir. Waveshare kart fiyatları kullanıcı tarafından belirtilmiştir (ESP32-S3 kartı 4.000 TL/adet; 16 kanal röle kartı 6.400 TL/adet). Diğer fiyatların KDV/iskonto durumu satıcıya göre değişir; toplamlar ön bütçedir, teklif değildir.</t>
        </is>
      </c>
    </row>
    <row r="14">
      <c r="A14" s="3" t="inlineStr">
        <is>
          <t xml:space="preserve">Stok / fiyat</t>
        </is>
      </c>
      <c r="B14" s="12" t="inlineStr">
        <is>
          <t xml:space="preserve">MPCB bağlantıları Siemens ürün kataloğuna gider; Türkiye satıcılarından fiyat/teslimat teklifi alınmalıdır. Güncel satıcı stoku ve KDV dahil fiyat teyit edilmediğinden motor koruma şalteri fiyatları ve pano toplamları “Teklif gerekli” görünür.</t>
        </is>
      </c>
    </row>
    <row r="15">
      <c r="A15" s="3" t="inlineStr">
        <is>
          <t xml:space="preserve">Bara boyutlandırma</t>
        </is>
      </c>
      <c r="B15" s="12" t="inlineStr">
        <is>
          <t xml:space="preserve">Ön BOM varsayımı: 18,5 kW pano için 30×10 mm paralel faz baraları; 5,5 kW panolar için 20×5 mm faz baraları ve PE barası. Kesit/paralel sayısı, bara mesafesi, destek/izolasyon, sıcaklık artışı, kısa devre dayanımı ve IEC 61439 uygunluğu yetkili elektrik mühendisi tarafından hesaplanıp doğrulanmalıdır; bu satırlar kesin proje/uygulama onayı değildir. Fiyatlar yaklaşık ve KDV/işleme/kargo durumu teyit edilmelidir.</t>
        </is>
      </c>
    </row>
    <row r="16">
      <c r="A16" s="4" t="inlineStr">
        <is>
          <t xml:space="preserve">Kalem</t>
        </is>
      </c>
      <c r="B16" s="4" t="inlineStr">
        <is>
          <t xml:space="preserve">Satıcı sayfası</t>
        </is>
      </c>
      <c r="C16" s="4" t="inlineStr">
        <is>
          <t xml:space="preserve">Fiyata esas alınan tutar</t>
        </is>
      </c>
      <c r="D16" s="4" t="inlineStr">
        <is>
          <t xml:space="preserve">Not</t>
        </is>
      </c>
    </row>
    <row r="17">
      <c r="A17" s="5" t="inlineStr">
        <is>
          <t xml:space="preserve">18,5 kW Delta sürücü</t>
        </is>
      </c>
      <c r="B17" s="6" t="inlineStr">
        <is>
          <t xml:space="preserve">Ürün sayfası</t>
        </is>
      </c>
      <c r="C17" s="5" t="inlineStr">
        <is>
          <t xml:space="preserve">45.441,00 TL/adet</t>
        </is>
      </c>
      <c r="D17" s="5" t="inlineStr">
        <is>
          <t xml:space="preserve">Sayhan çevrimiçi fiyatı; stok kontrolü gerekli.</t>
        </is>
      </c>
    </row>
    <row r="18">
      <c r="A18" s="5" t="inlineStr">
        <is>
          <t xml:space="preserve">1000 A kompakt şalter</t>
        </is>
      </c>
      <c r="B18" s="6" t="inlineStr">
        <is>
          <t xml:space="preserve">Ürün sayfası</t>
        </is>
      </c>
      <c r="C18" s="5" t="inlineStr">
        <is>
          <t xml:space="preserve">121.951,64 TL/adet</t>
        </is>
      </c>
      <c r="D18" s="5" t="inlineStr">
        <is>
          <t xml:space="preserve">Tümpa liste fiyatı.</t>
        </is>
      </c>
    </row>
    <row r="19">
      <c r="A19" s="5" t="inlineStr">
        <is>
          <t xml:space="preserve">160 A kompakt şalter</t>
        </is>
      </c>
      <c r="B19" s="6" t="inlineStr">
        <is>
          <t xml:space="preserve">Ürün sayfası</t>
        </is>
      </c>
      <c r="C19" s="5" t="inlineStr">
        <is>
          <t xml:space="preserve">4.530,79 TL/adet</t>
        </is>
      </c>
      <c r="D19" s="5" t="inlineStr">
        <is>
          <t xml:space="preserve">Tümpa fiyatı + KDV olarak raporlandı.</t>
        </is>
      </c>
    </row>
    <row r="20">
      <c r="A20" s="5" t="inlineStr">
        <is>
          <t xml:space="preserve">40 A motor koruma şalteri</t>
        </is>
      </c>
      <c r="B20" s="6" t="inlineStr">
        <is>
          <t xml:space="preserve">Ürün sayfası</t>
        </is>
      </c>
      <c r="C20" s="5" t="inlineStr">
        <is>
          <t xml:space="preserve">5.946,48 TL/adet (KDV dahil listelenen fiyat)</t>
        </is>
      </c>
      <c r="D20" s="5" t="inlineStr">
        <is>
          <t xml:space="preserve">Kullanıcının verdiği Elektrix ürünü: Siemens SIRIUS 3RV2021-4FA10, 34–40 A, 20 kA, S0; raya montajlı ve vidalı bağlantılı. Ürün liste sayfasındaki stok/fiyat siparişten önce teyit edilmeli; motor etiket akımı mühendis tarafından doğrulanmalı.</t>
        </is>
      </c>
    </row>
    <row r="21">
      <c r="A21" s="5" t="inlineStr">
        <is>
          <t xml:space="preserve">5,5 kW motor koruma şalteri</t>
        </is>
      </c>
      <c r="B21" s="6" t="inlineStr">
        <is>
          <t xml:space="preserve">Ürün sayfası</t>
        </is>
      </c>
      <c r="C21" s="5" t="inlineStr">
        <is>
          <t xml:space="preserve">Teklif gerekli</t>
        </is>
      </c>
      <c r="D21" s="5" t="inlineStr">
        <is>
          <t xml:space="preserve">Siemens 3RV2011-1KA10, 9–12,5 A; 3RV2 S00, vidalı bağlantı, raya montaj. Üretici kataloğu; fiyat için Türkiye satıcı teklifi gerekli.</t>
        </is>
      </c>
    </row>
    <row r="22">
      <c r="A22" s="5" t="inlineStr">
        <is>
          <t xml:space="preserve">40 A / 18,5 kW kontaktör</t>
        </is>
      </c>
      <c r="B22" s="6" t="inlineStr">
        <is>
          <t xml:space="preserve">Ürün sayfası</t>
        </is>
      </c>
      <c r="C22" s="5" t="inlineStr">
        <is>
          <t xml:space="preserve">5.170,00 TL/adet</t>
        </is>
      </c>
      <c r="D22" s="5" t="inlineStr">
        <is>
          <t xml:space="preserve">Tümpa Siemens 24 V DC bobinli model.</t>
        </is>
      </c>
    </row>
    <row r="23">
      <c r="A23" s="5" t="inlineStr">
        <is>
          <t xml:space="preserve">Siemens 3RT2017-1BB41, 12 A / 5,5 kW kontaktör</t>
        </is>
      </c>
      <c r="B23" s="6" t="inlineStr">
        <is>
          <t xml:space="preserve">Ürün sayfası</t>
        </is>
      </c>
      <c r="C23" s="5" t="inlineStr">
        <is>
          <t xml:space="preserve">1.137,00 TL/adet + KDV</t>
        </is>
      </c>
      <c r="D23" s="5" t="inlineStr">
        <is>
          <t xml:space="preserve">Elpimshop ürün sayfası; stokta 10+ adet bilgisi arama anında listelenmiş. Bobin 24 V DC, 1NA; stok ve fiyatı sipariş öncesi teyit edin.</t>
        </is>
      </c>
    </row>
    <row r="24">
      <c r="A24" s="5" t="inlineStr">
        <is>
          <t xml:space="preserve">Eski 40 A termik röle</t>
        </is>
      </c>
      <c r="B24" s="6" t="inlineStr">
        <is>
          <t xml:space="preserve">Kullanılmıyor; ilgili termik röle satırları Siemens motor koruma şalteriyle tek cihazda birleştirildi.</t>
        </is>
      </c>
      <c r="C24" s="5" t="inlineStr">
        <is>
          <t xml:space="preserve">—</t>
        </is>
      </c>
      <c r="D24" s="5" t="inlineStr">
        <is>
          <t xml:space="preserve">Ayrı termik röle kullanılmıyor.</t>
        </is>
      </c>
    </row>
    <row r="25">
      <c r="A25" s="5" t="inlineStr">
        <is>
          <t xml:space="preserve">Eski 18 A termik röle</t>
        </is>
      </c>
      <c r="B25" s="6" t="inlineStr">
        <is>
          <t xml:space="preserve">Kullanılmıyor; ilgili termik röle satırları Siemens motor koruma şalteriyle tek cihazda birleştirildi.</t>
        </is>
      </c>
      <c r="C25" s="5" t="inlineStr">
        <is>
          <t xml:space="preserve">—</t>
        </is>
      </c>
      <c r="D25" s="5" t="inlineStr">
        <is>
          <t xml:space="preserve">Ayrı termik röle kullanılmıyor.</t>
        </is>
      </c>
    </row>
    <row r="26">
      <c r="A26" s="5" t="inlineStr">
        <is>
          <t xml:space="preserve">Analog zaman rölesi</t>
        </is>
      </c>
      <c r="B26" s="6" t="inlineStr">
        <is>
          <t xml:space="preserve">Ürün sayfası</t>
        </is>
      </c>
      <c r="C26" s="5" t="inlineStr">
        <is>
          <t xml:space="preserve">1.039,50 TL/adet</t>
        </is>
      </c>
      <c r="D26" s="5" t="inlineStr">
        <is>
          <t xml:space="preserve">Sayhan indirimli fiyat.</t>
        </is>
      </c>
    </row>
    <row r="27">
      <c r="A27" s="5" t="inlineStr">
        <is>
          <t xml:space="preserve">24 V / 10 A güç kaynağı</t>
        </is>
      </c>
      <c r="B27" s="6" t="inlineStr">
        <is>
          <t xml:space="preserve">Ürün sayfası</t>
        </is>
      </c>
      <c r="C27" s="5" t="inlineStr">
        <is>
          <t xml:space="preserve">2.062,84 TL/adet</t>
        </is>
      </c>
      <c r="D27" s="5" t="inlineStr">
        <is>
          <t xml:space="preserve">Huzur Elektromarket fiyatı + KDV olarak raporlandı.</t>
        </is>
      </c>
    </row>
    <row r="28">
      <c r="A28" s="5" t="inlineStr">
        <is>
          <t xml:space="preserve">Waveshare 16 kanallı Modbus Ethernet röle kartı</t>
        </is>
      </c>
      <c r="B28" s="6" t="inlineStr">
        <is>
          <t xml:space="preserve">Ürün sayfası</t>
        </is>
      </c>
      <c r="C28" s="5" t="inlineStr">
        <is>
          <t xml:space="preserve">6.400,00 TL/adet (kullanıcı tarafından belirtilen)</t>
        </is>
      </c>
      <c r="D28" s="5" t="inlineStr">
        <is>
          <t xml:space="preserve">Kullanıcı tarafından verilen birim fiyat; Waveshare ürün sayfasından model/tedarik uygunluğu teyit edin.</t>
        </is>
      </c>
    </row>
    <row r="29">
      <c r="A29" s="5" t="inlineStr">
        <is>
          <t xml:space="preserve">Waveshare ESP32-S3-POE-ETH-8DI-8DO</t>
        </is>
      </c>
      <c r="B29" s="6" t="inlineStr">
        <is>
          <t xml:space="preserve">Ürün sayfası</t>
        </is>
      </c>
      <c r="C29" s="5" t="inlineStr">
        <is>
          <t xml:space="preserve">4.000,00 TL/adet (kullanıcı tarafından belirtilen)</t>
        </is>
      </c>
      <c r="D29" s="5" t="inlineStr">
        <is>
          <t xml:space="preserve">Kullanıcı tarafından verilen birim fiyat; Waveshare ürün sayfasından model/tedarik uygunluğu teyit edin.</t>
        </is>
      </c>
    </row>
    <row r="31">
      <c r="A31" s="5" t="inlineStr">
        <is>
          <t xml:space="preserve">Bakır bara 30×10 mm × 3 m</t>
        </is>
      </c>
      <c r="B31" s="6" t="inlineStr">
        <is>
          <t xml:space="preserve">Ürün sayfası</t>
        </is>
      </c>
      <c r="C31" s="5" t="inlineStr">
        <is>
          <t xml:space="preserve">≈ 5.900 TL/bar</t>
        </is>
      </c>
      <c r="D31" s="5" t="inlineStr">
        <is>
          <t xml:space="preserve">Hepsiburada listelemesi; arama anında yaklaşık ürün fiyatı. Liste seçeneği ve uzunluk/fiyatı sipariş öncesi teyit edin.</t>
        </is>
      </c>
    </row>
    <row r="32">
      <c r="A32" s="5" t="inlineStr">
        <is>
          <t xml:space="preserve">Bakır bara 20×5 mm × 1 m</t>
        </is>
      </c>
      <c r="B32" s="6" t="inlineStr">
        <is>
          <t xml:space="preserve">Ürün sayfası</t>
        </is>
      </c>
      <c r="C32" s="5" t="inlineStr">
        <is>
          <t xml:space="preserve">≈ 1.800 TL/bar</t>
        </is>
      </c>
      <c r="D32" s="5" t="inlineStr">
        <is>
          <t xml:space="preserve">Hepsiburada ürün listesi; boy ve güncel fiyatı satın almadan önce teyit edin.</t>
        </is>
      </c>
    </row>
  </sheetData>
  <mergeCells count="14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</mergeCells>
  <hyperlinks>
    <hyperlink ref="B17" r:id="rId1"/>
    <hyperlink ref="B18" r:id="rId2"/>
    <hyperlink ref="B19" r:id="rId3"/>
    <hyperlink ref="B20" r:id="rId4"/>
    <hyperlink ref="B21" r:id="rId5"/>
    <hyperlink ref="B22" r:id="rId6"/>
    <hyperlink ref="B23" r:id="rId7"/>
    <hyperlink ref="B26" r:id="rId10"/>
    <hyperlink ref="B27" r:id="rId11"/>
    <hyperlink ref="B28" r:id="rId12"/>
    <hyperlink ref="B29" r:id="rId13"/>
    <hyperlink ref="B31" r:id="rId14"/>
    <hyperlink ref="B32" r:id="rId15"/>
  </hyperlinks>
  <pageMargins left="0.25" right="0.25" top="0.5" bottom="0.5" header="0.2" footer="0.2"/>
</worksheet>
</file>